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th.Kumar\Downloads\"/>
    </mc:Choice>
  </mc:AlternateContent>
  <xr:revisionPtr revIDLastSave="0" documentId="13_ncr:1_{A3CC39E7-420D-4037-B246-3740463F9E23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OvernightExecution-Mar16" sheetId="3" r:id="rId1"/>
    <sheet name="OvernightExecution-Mar25" sheetId="5" r:id="rId2"/>
    <sheet name="OvernightExecution-Apr-18" sheetId="6" r:id="rId3"/>
    <sheet name="Comparison" sheetId="4" r:id="rId4"/>
    <sheet name="Peak Sales Processing " sheetId="1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6" l="1"/>
  <c r="L15" i="6"/>
  <c r="I28" i="6"/>
  <c r="M28" i="6" s="1"/>
  <c r="H28" i="6"/>
  <c r="L28" i="6" s="1"/>
  <c r="I27" i="6"/>
  <c r="M27" i="6" s="1"/>
  <c r="M2" i="6" s="1"/>
  <c r="H27" i="6"/>
  <c r="L27" i="6" s="1"/>
  <c r="I26" i="6"/>
  <c r="M26" i="6" s="1"/>
  <c r="H26" i="6"/>
  <c r="L26" i="6" s="1"/>
  <c r="I25" i="6"/>
  <c r="M25" i="6" s="1"/>
  <c r="H25" i="6"/>
  <c r="L25" i="6" s="1"/>
  <c r="I24" i="6"/>
  <c r="M24" i="6" s="1"/>
  <c r="H24" i="6"/>
  <c r="L24" i="6" s="1"/>
  <c r="I23" i="6"/>
  <c r="M23" i="6" s="1"/>
  <c r="H23" i="6"/>
  <c r="I22" i="6"/>
  <c r="M22" i="6" s="1"/>
  <c r="H22" i="6"/>
  <c r="L22" i="6" s="1"/>
  <c r="I21" i="6"/>
  <c r="M21" i="6" s="1"/>
  <c r="H21" i="6"/>
  <c r="L21" i="6" s="1"/>
  <c r="I20" i="6"/>
  <c r="M20" i="6" s="1"/>
  <c r="H20" i="6"/>
  <c r="L20" i="6" s="1"/>
  <c r="I19" i="6"/>
  <c r="M19" i="6" s="1"/>
  <c r="H19" i="6"/>
  <c r="L19" i="6" s="1"/>
  <c r="I18" i="6"/>
  <c r="M18" i="6" s="1"/>
  <c r="H18" i="6"/>
  <c r="L18" i="6" s="1"/>
  <c r="I17" i="6"/>
  <c r="M17" i="6" s="1"/>
  <c r="H17" i="6"/>
  <c r="L17" i="6" s="1"/>
  <c r="I16" i="6"/>
  <c r="M16" i="6" s="1"/>
  <c r="H16" i="6"/>
  <c r="L16" i="6" s="1"/>
  <c r="I15" i="6"/>
  <c r="M15" i="6" s="1"/>
  <c r="H15" i="6"/>
  <c r="I14" i="6"/>
  <c r="M14" i="6" s="1"/>
  <c r="H14" i="6"/>
  <c r="L14" i="6" s="1"/>
  <c r="I13" i="6"/>
  <c r="M13" i="6" s="1"/>
  <c r="H13" i="6"/>
  <c r="L13" i="6" s="1"/>
  <c r="I12" i="6"/>
  <c r="M12" i="6" s="1"/>
  <c r="H12" i="6"/>
  <c r="L12" i="6" s="1"/>
  <c r="I11" i="6"/>
  <c r="M11" i="6" s="1"/>
  <c r="H11" i="6"/>
  <c r="L11" i="6" s="1"/>
  <c r="I10" i="6"/>
  <c r="M10" i="6" s="1"/>
  <c r="H10" i="6"/>
  <c r="L10" i="6" s="1"/>
  <c r="I9" i="6"/>
  <c r="M9" i="6" s="1"/>
  <c r="H9" i="6"/>
  <c r="L9" i="6" s="1"/>
  <c r="I8" i="6"/>
  <c r="M8" i="6" s="1"/>
  <c r="H8" i="6"/>
  <c r="L8" i="6" s="1"/>
  <c r="L7" i="6"/>
  <c r="I6" i="6"/>
  <c r="I5" i="6"/>
  <c r="I4" i="6"/>
  <c r="H6" i="6"/>
  <c r="H5" i="6"/>
  <c r="H4" i="6"/>
  <c r="I3" i="6"/>
  <c r="K2" i="6" l="1"/>
  <c r="K7" i="6"/>
  <c r="H3" i="6"/>
  <c r="I2" i="6"/>
  <c r="H2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6" i="6"/>
  <c r="G5" i="6"/>
  <c r="G4" i="6"/>
  <c r="G3" i="6"/>
  <c r="G2" i="6"/>
  <c r="M9" i="5"/>
  <c r="I28" i="5"/>
  <c r="M28" i="5" s="1"/>
  <c r="H28" i="5"/>
  <c r="L28" i="5" s="1"/>
  <c r="G28" i="5"/>
  <c r="I27" i="5"/>
  <c r="M27" i="5" s="1"/>
  <c r="H27" i="5"/>
  <c r="L27" i="5" s="1"/>
  <c r="G27" i="5"/>
  <c r="I26" i="5"/>
  <c r="M26" i="5" s="1"/>
  <c r="H26" i="5"/>
  <c r="L26" i="5" s="1"/>
  <c r="G26" i="5"/>
  <c r="I25" i="5"/>
  <c r="M25" i="5" s="1"/>
  <c r="H25" i="5"/>
  <c r="L25" i="5" s="1"/>
  <c r="G25" i="5"/>
  <c r="I24" i="5"/>
  <c r="M24" i="5" s="1"/>
  <c r="H24" i="5"/>
  <c r="L24" i="5" s="1"/>
  <c r="G24" i="5"/>
  <c r="I23" i="5"/>
  <c r="M23" i="5" s="1"/>
  <c r="H23" i="5"/>
  <c r="L23" i="5" s="1"/>
  <c r="G23" i="5"/>
  <c r="I22" i="5"/>
  <c r="M22" i="5" s="1"/>
  <c r="H22" i="5"/>
  <c r="L22" i="5" s="1"/>
  <c r="G22" i="5"/>
  <c r="I21" i="5"/>
  <c r="M21" i="5" s="1"/>
  <c r="H21" i="5"/>
  <c r="L21" i="5" s="1"/>
  <c r="G21" i="5"/>
  <c r="I20" i="5"/>
  <c r="M20" i="5" s="1"/>
  <c r="H20" i="5"/>
  <c r="L20" i="5" s="1"/>
  <c r="G20" i="5"/>
  <c r="I19" i="5"/>
  <c r="M19" i="5" s="1"/>
  <c r="H19" i="5"/>
  <c r="L19" i="5" s="1"/>
  <c r="G19" i="5"/>
  <c r="I18" i="5"/>
  <c r="M18" i="5" s="1"/>
  <c r="H18" i="5"/>
  <c r="L18" i="5" s="1"/>
  <c r="G18" i="5"/>
  <c r="I17" i="5"/>
  <c r="M17" i="5" s="1"/>
  <c r="H17" i="5"/>
  <c r="L17" i="5" s="1"/>
  <c r="G17" i="5"/>
  <c r="I16" i="5"/>
  <c r="M16" i="5" s="1"/>
  <c r="H16" i="5"/>
  <c r="L16" i="5" s="1"/>
  <c r="G16" i="5"/>
  <c r="I15" i="5"/>
  <c r="M15" i="5" s="1"/>
  <c r="H15" i="5"/>
  <c r="L15" i="5" s="1"/>
  <c r="G15" i="5"/>
  <c r="I14" i="5"/>
  <c r="M14" i="5" s="1"/>
  <c r="H14" i="5"/>
  <c r="L14" i="5" s="1"/>
  <c r="G14" i="5"/>
  <c r="I13" i="5"/>
  <c r="M13" i="5" s="1"/>
  <c r="H13" i="5"/>
  <c r="L13" i="5" s="1"/>
  <c r="G13" i="5"/>
  <c r="I12" i="5"/>
  <c r="M12" i="5" s="1"/>
  <c r="H12" i="5"/>
  <c r="L12" i="5" s="1"/>
  <c r="G12" i="5"/>
  <c r="I11" i="5"/>
  <c r="M11" i="5" s="1"/>
  <c r="H11" i="5"/>
  <c r="L11" i="5" s="1"/>
  <c r="G11" i="5"/>
  <c r="I10" i="5"/>
  <c r="M10" i="5" s="1"/>
  <c r="H10" i="5"/>
  <c r="L10" i="5" s="1"/>
  <c r="G10" i="5"/>
  <c r="I9" i="5"/>
  <c r="H9" i="5"/>
  <c r="L9" i="5" s="1"/>
  <c r="G9" i="5"/>
  <c r="I8" i="5"/>
  <c r="M8" i="5" s="1"/>
  <c r="H8" i="5"/>
  <c r="L8" i="5" s="1"/>
  <c r="G8" i="5"/>
  <c r="K7" i="5"/>
  <c r="I6" i="5"/>
  <c r="H6" i="5"/>
  <c r="G6" i="5"/>
  <c r="I5" i="5"/>
  <c r="H5" i="5"/>
  <c r="G5" i="5"/>
  <c r="I4" i="5"/>
  <c r="H4" i="5"/>
  <c r="G4" i="5"/>
  <c r="I3" i="5"/>
  <c r="H3" i="5"/>
  <c r="G3" i="5"/>
  <c r="I2" i="5"/>
  <c r="M2" i="5" s="1"/>
  <c r="K2" i="5" s="1"/>
  <c r="H2" i="5"/>
  <c r="G2" i="5"/>
  <c r="L15" i="3"/>
  <c r="L20" i="3"/>
  <c r="M25" i="3"/>
  <c r="M9" i="3"/>
  <c r="K8" i="3"/>
  <c r="I29" i="3"/>
  <c r="M29" i="3" s="1"/>
  <c r="H29" i="3"/>
  <c r="L29" i="3" s="1"/>
  <c r="G29" i="3"/>
  <c r="I28" i="3"/>
  <c r="M28" i="3" s="1"/>
  <c r="H28" i="3"/>
  <c r="L28" i="3" s="1"/>
  <c r="G28" i="3"/>
  <c r="I27" i="3"/>
  <c r="M27" i="3" s="1"/>
  <c r="H27" i="3"/>
  <c r="L27" i="3" s="1"/>
  <c r="G27" i="3"/>
  <c r="I26" i="3"/>
  <c r="M26" i="3" s="1"/>
  <c r="H26" i="3"/>
  <c r="L26" i="3" s="1"/>
  <c r="G26" i="3"/>
  <c r="I25" i="3"/>
  <c r="H25" i="3"/>
  <c r="L25" i="3" s="1"/>
  <c r="G25" i="3"/>
  <c r="I24" i="3"/>
  <c r="M24" i="3" s="1"/>
  <c r="H24" i="3"/>
  <c r="L24" i="3" s="1"/>
  <c r="G24" i="3"/>
  <c r="I23" i="3"/>
  <c r="M23" i="3" s="1"/>
  <c r="H23" i="3"/>
  <c r="L23" i="3" s="1"/>
  <c r="G23" i="3"/>
  <c r="I22" i="3"/>
  <c r="M22" i="3" s="1"/>
  <c r="H22" i="3"/>
  <c r="L22" i="3" s="1"/>
  <c r="G22" i="3"/>
  <c r="I21" i="3"/>
  <c r="M21" i="3" s="1"/>
  <c r="H21" i="3"/>
  <c r="L21" i="3" s="1"/>
  <c r="G21" i="3"/>
  <c r="I20" i="3"/>
  <c r="M20" i="3" s="1"/>
  <c r="H20" i="3"/>
  <c r="G20" i="3"/>
  <c r="I19" i="3"/>
  <c r="M19" i="3" s="1"/>
  <c r="H19" i="3"/>
  <c r="L19" i="3" s="1"/>
  <c r="G19" i="3"/>
  <c r="I18" i="3"/>
  <c r="M18" i="3" s="1"/>
  <c r="H18" i="3"/>
  <c r="L18" i="3" s="1"/>
  <c r="G18" i="3"/>
  <c r="I17" i="3"/>
  <c r="M17" i="3" s="1"/>
  <c r="H17" i="3"/>
  <c r="L17" i="3" s="1"/>
  <c r="G17" i="3"/>
  <c r="I16" i="3"/>
  <c r="M16" i="3" s="1"/>
  <c r="H16" i="3"/>
  <c r="L16" i="3" s="1"/>
  <c r="G16" i="3"/>
  <c r="I15" i="3"/>
  <c r="M15" i="3" s="1"/>
  <c r="H15" i="3"/>
  <c r="G15" i="3"/>
  <c r="I14" i="3"/>
  <c r="M14" i="3" s="1"/>
  <c r="H14" i="3"/>
  <c r="L14" i="3" s="1"/>
  <c r="G14" i="3"/>
  <c r="I13" i="3"/>
  <c r="M13" i="3" s="1"/>
  <c r="H13" i="3"/>
  <c r="L13" i="3" s="1"/>
  <c r="G13" i="3"/>
  <c r="I12" i="3"/>
  <c r="M12" i="3" s="1"/>
  <c r="H12" i="3"/>
  <c r="L12" i="3" s="1"/>
  <c r="G12" i="3"/>
  <c r="I11" i="3"/>
  <c r="M11" i="3" s="1"/>
  <c r="H11" i="3"/>
  <c r="L11" i="3" s="1"/>
  <c r="G11" i="3"/>
  <c r="I10" i="3"/>
  <c r="M10" i="3" s="1"/>
  <c r="H10" i="3"/>
  <c r="L10" i="3" s="1"/>
  <c r="G10" i="3"/>
  <c r="I9" i="3"/>
  <c r="H9" i="3"/>
  <c r="L9" i="3" s="1"/>
  <c r="G9" i="3"/>
  <c r="I7" i="3"/>
  <c r="H7" i="3"/>
  <c r="G7" i="3"/>
  <c r="I6" i="3"/>
  <c r="H6" i="3"/>
  <c r="G6" i="3"/>
  <c r="I5" i="3"/>
  <c r="H5" i="3"/>
  <c r="G5" i="3"/>
  <c r="I4" i="3"/>
  <c r="H4" i="3"/>
  <c r="G4" i="3"/>
  <c r="I3" i="3"/>
  <c r="H3" i="3"/>
  <c r="G3" i="3"/>
  <c r="I2" i="3"/>
  <c r="M2" i="3" s="1"/>
  <c r="K2" i="3" s="1"/>
  <c r="H2" i="3"/>
  <c r="L2" i="3" s="1"/>
  <c r="G2" i="3"/>
  <c r="D10" i="1" l="1"/>
  <c r="AA106" i="1"/>
  <c r="AA111" i="1" s="1"/>
  <c r="Z106" i="1"/>
  <c r="Y106" i="1"/>
  <c r="Y111" i="1" s="1"/>
  <c r="X106" i="1"/>
  <c r="X111" i="1" s="1"/>
  <c r="W106" i="1"/>
  <c r="W111" i="1" s="1"/>
  <c r="V106" i="1"/>
  <c r="U106" i="1"/>
  <c r="U111" i="1" s="1"/>
  <c r="T106" i="1"/>
  <c r="T111" i="1" s="1"/>
  <c r="S106" i="1"/>
  <c r="S111" i="1" s="1"/>
  <c r="R106" i="1"/>
  <c r="Q106" i="1"/>
  <c r="Q111" i="1" s="1"/>
  <c r="P106" i="1"/>
  <c r="P111" i="1" s="1"/>
  <c r="O106" i="1"/>
  <c r="O111" i="1" s="1"/>
  <c r="N106" i="1"/>
  <c r="M106" i="1"/>
  <c r="M111" i="1" s="1"/>
  <c r="L106" i="1"/>
  <c r="L111" i="1" s="1"/>
  <c r="K106" i="1"/>
  <c r="K111" i="1" s="1"/>
  <c r="J106" i="1"/>
  <c r="I106" i="1"/>
  <c r="I111" i="1" s="1"/>
  <c r="H106" i="1"/>
  <c r="H111" i="1" s="1"/>
  <c r="G106" i="1"/>
  <c r="G111" i="1" s="1"/>
  <c r="F106" i="1"/>
  <c r="E106" i="1"/>
  <c r="E111" i="1" s="1"/>
  <c r="D106" i="1"/>
  <c r="D111" i="1" s="1"/>
  <c r="AA94" i="1"/>
  <c r="AA97" i="1" s="1"/>
  <c r="Z94" i="1"/>
  <c r="Z97" i="1" s="1"/>
  <c r="Y94" i="1"/>
  <c r="Y97" i="1" s="1"/>
  <c r="X94" i="1"/>
  <c r="X97" i="1" s="1"/>
  <c r="W94" i="1"/>
  <c r="W97" i="1" s="1"/>
  <c r="V94" i="1"/>
  <c r="V97" i="1" s="1"/>
  <c r="U94" i="1"/>
  <c r="U97" i="1" s="1"/>
  <c r="T94" i="1"/>
  <c r="T97" i="1" s="1"/>
  <c r="S94" i="1"/>
  <c r="S97" i="1" s="1"/>
  <c r="R94" i="1"/>
  <c r="R97" i="1" s="1"/>
  <c r="Q94" i="1"/>
  <c r="Q97" i="1" s="1"/>
  <c r="P94" i="1"/>
  <c r="P97" i="1" s="1"/>
  <c r="O94" i="1"/>
  <c r="O97" i="1" s="1"/>
  <c r="N94" i="1"/>
  <c r="N97" i="1" s="1"/>
  <c r="M94" i="1"/>
  <c r="M97" i="1" s="1"/>
  <c r="L94" i="1"/>
  <c r="L97" i="1" s="1"/>
  <c r="K94" i="1"/>
  <c r="K97" i="1" s="1"/>
  <c r="J94" i="1"/>
  <c r="J97" i="1" s="1"/>
  <c r="I94" i="1"/>
  <c r="I97" i="1" s="1"/>
  <c r="H94" i="1"/>
  <c r="H97" i="1" s="1"/>
  <c r="G94" i="1"/>
  <c r="G97" i="1" s="1"/>
  <c r="F94" i="1"/>
  <c r="F97" i="1" s="1"/>
  <c r="E94" i="1"/>
  <c r="E97" i="1" s="1"/>
  <c r="D94" i="1"/>
  <c r="D97" i="1" s="1"/>
  <c r="J88" i="1"/>
  <c r="I88" i="1"/>
  <c r="H88" i="1"/>
  <c r="G88" i="1"/>
  <c r="F88" i="1"/>
  <c r="E88" i="1"/>
  <c r="D88" i="1"/>
  <c r="J87" i="1"/>
  <c r="I87" i="1"/>
  <c r="H87" i="1"/>
  <c r="G87" i="1"/>
  <c r="F87" i="1"/>
  <c r="E87" i="1"/>
  <c r="D87" i="1"/>
  <c r="J86" i="1"/>
  <c r="I86" i="1"/>
  <c r="H86" i="1"/>
  <c r="G86" i="1"/>
  <c r="F86" i="1"/>
  <c r="E86" i="1"/>
  <c r="D86" i="1"/>
  <c r="J85" i="1"/>
  <c r="I85" i="1"/>
  <c r="H85" i="1"/>
  <c r="G85" i="1"/>
  <c r="F85" i="1"/>
  <c r="E85" i="1"/>
  <c r="D85" i="1"/>
  <c r="L83" i="1"/>
  <c r="D74" i="1"/>
  <c r="AA30" i="1"/>
  <c r="D31" i="1" s="1"/>
  <c r="Y30" i="1"/>
  <c r="Y31" i="1" s="1"/>
  <c r="W30" i="1"/>
  <c r="W31" i="1" s="1"/>
  <c r="U30" i="1"/>
  <c r="T30" i="1"/>
  <c r="S30" i="1"/>
  <c r="R30" i="1"/>
  <c r="P30" i="1"/>
  <c r="O30" i="1"/>
  <c r="N30" i="1"/>
  <c r="M30" i="1"/>
  <c r="K30" i="1"/>
  <c r="J30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AA7" i="1"/>
  <c r="Z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K31" i="1" l="1"/>
  <c r="P31" i="1"/>
  <c r="L87" i="1"/>
  <c r="U31" i="1"/>
  <c r="L85" i="1"/>
  <c r="L86" i="1"/>
  <c r="L88" i="1"/>
  <c r="J111" i="1"/>
  <c r="J110" i="1"/>
  <c r="J109" i="1"/>
  <c r="N111" i="1"/>
  <c r="N110" i="1"/>
  <c r="N109" i="1"/>
  <c r="R111" i="1"/>
  <c r="R110" i="1"/>
  <c r="R109" i="1"/>
  <c r="V111" i="1"/>
  <c r="V110" i="1"/>
  <c r="V109" i="1"/>
  <c r="Z111" i="1"/>
  <c r="Z110" i="1"/>
  <c r="Z109" i="1"/>
  <c r="N108" i="1"/>
  <c r="R108" i="1"/>
  <c r="F111" i="1"/>
  <c r="F110" i="1"/>
  <c r="F109" i="1"/>
  <c r="F108" i="1"/>
  <c r="V108" i="1"/>
  <c r="J108" i="1"/>
  <c r="Z108" i="1"/>
  <c r="G108" i="1"/>
  <c r="K108" i="1"/>
  <c r="O108" i="1"/>
  <c r="S108" i="1"/>
  <c r="W108" i="1"/>
  <c r="AA108" i="1"/>
  <c r="G109" i="1"/>
  <c r="K109" i="1"/>
  <c r="O109" i="1"/>
  <c r="S109" i="1"/>
  <c r="W109" i="1"/>
  <c r="AA109" i="1"/>
  <c r="G110" i="1"/>
  <c r="K110" i="1"/>
  <c r="O110" i="1"/>
  <c r="S110" i="1"/>
  <c r="W110" i="1"/>
  <c r="AA110" i="1"/>
  <c r="D108" i="1"/>
  <c r="H108" i="1"/>
  <c r="L108" i="1"/>
  <c r="P108" i="1"/>
  <c r="T108" i="1"/>
  <c r="X108" i="1"/>
  <c r="D109" i="1"/>
  <c r="H109" i="1"/>
  <c r="L109" i="1"/>
  <c r="P109" i="1"/>
  <c r="T109" i="1"/>
  <c r="X109" i="1"/>
  <c r="D110" i="1"/>
  <c r="H110" i="1"/>
  <c r="L110" i="1"/>
  <c r="P110" i="1"/>
  <c r="T110" i="1"/>
  <c r="X110" i="1"/>
  <c r="E108" i="1"/>
  <c r="I108" i="1"/>
  <c r="M108" i="1"/>
  <c r="Q108" i="1"/>
  <c r="U108" i="1"/>
  <c r="Y108" i="1"/>
  <c r="E109" i="1"/>
  <c r="I109" i="1"/>
  <c r="M109" i="1"/>
  <c r="Q109" i="1"/>
  <c r="U109" i="1"/>
  <c r="Y109" i="1"/>
  <c r="E110" i="1"/>
  <c r="I110" i="1"/>
  <c r="M110" i="1"/>
  <c r="Q110" i="1"/>
  <c r="U110" i="1"/>
  <c r="Y110" i="1"/>
</calcChain>
</file>

<file path=xl/sharedStrings.xml><?xml version="1.0" encoding="utf-8"?>
<sst xmlns="http://schemas.openxmlformats.org/spreadsheetml/2006/main" count="2790" uniqueCount="451">
  <si>
    <t>Sales Projections for black friday 2021 using distributions of orders from previous year</t>
  </si>
  <si>
    <t>Cust ord</t>
  </si>
  <si>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</si>
  <si>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</si>
  <si>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</si>
  <si>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</si>
  <si>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</si>
  <si>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</si>
  <si>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</si>
  <si>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</si>
  <si>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8 Hour</t>
  </si>
  <si>
    <t>9 Hour</t>
  </si>
  <si>
    <t>10 Hour</t>
  </si>
  <si>
    <t>11 Hour</t>
  </si>
  <si>
    <t>12 Hour</t>
  </si>
  <si>
    <t>13 Hour</t>
  </si>
  <si>
    <t>14 Hour</t>
  </si>
  <si>
    <t>15 Hour</t>
  </si>
  <si>
    <t>16 Hour</t>
  </si>
  <si>
    <t>17 Hour</t>
  </si>
  <si>
    <t>18 Hour</t>
  </si>
  <si>
    <t>19 Hour</t>
  </si>
  <si>
    <t>20 Hour</t>
  </si>
  <si>
    <t>21 Hour</t>
  </si>
  <si>
    <t>22 Hour</t>
  </si>
  <si>
    <t>23 Hour</t>
  </si>
  <si>
    <t>1.3M</t>
  </si>
  <si>
    <t xml:space="preserve">Projections Customer Orders : </t>
  </si>
  <si>
    <t>2.1M</t>
  </si>
  <si>
    <t xml:space="preserve">Estimated  ReSA transactions 27/11/2021 </t>
  </si>
  <si>
    <t>7M</t>
  </si>
  <si>
    <t>40% 10001</t>
  </si>
  <si>
    <t>30% 10004</t>
  </si>
  <si>
    <t>20% 10003</t>
  </si>
  <si>
    <t>10% 10006</t>
  </si>
  <si>
    <t xml:space="preserve">Laibility </t>
  </si>
  <si>
    <t>Billable</t>
  </si>
  <si>
    <t>Shipped sale</t>
  </si>
  <si>
    <t>Refund</t>
  </si>
  <si>
    <t>Return</t>
  </si>
  <si>
    <t>Items Refund</t>
  </si>
  <si>
    <t>Current ReSA chain</t>
  </si>
  <si>
    <t>OVERNIGHT</t>
  </si>
  <si>
    <t>IMPORT</t>
  </si>
  <si>
    <t>EXPORT</t>
  </si>
  <si>
    <t>INTRA NIGHT</t>
  </si>
  <si>
    <t>EXTRA</t>
  </si>
  <si>
    <t>Import tran</t>
  </si>
  <si>
    <t>export tran (roll up
@ sku's)</t>
  </si>
  <si>
    <t>1h 18m</t>
  </si>
  <si>
    <t>Preactivities &amp; GRP</t>
  </si>
  <si>
    <t>Customer Orders</t>
  </si>
  <si>
    <t xml:space="preserve">Total ReSA transactions </t>
  </si>
  <si>
    <t>Total Resa transactions</t>
  </si>
  <si>
    <t>Total orders</t>
  </si>
  <si>
    <t>FC1</t>
  </si>
  <si>
    <t>FC4</t>
  </si>
  <si>
    <t>FC3</t>
  </si>
  <si>
    <t>FC6</t>
  </si>
  <si>
    <t>30% 10003</t>
  </si>
  <si>
    <t>20% 10004</t>
  </si>
  <si>
    <t>Baseline Post Data Refresh (11-Mar)</t>
  </si>
  <si>
    <t>32m</t>
  </si>
  <si>
    <t>47m</t>
  </si>
  <si>
    <t>29m</t>
  </si>
  <si>
    <t>50m</t>
  </si>
  <si>
    <t>35m</t>
  </si>
  <si>
    <t>Baseline Post Data Refresh (15-Mar)</t>
  </si>
  <si>
    <t>WF.RMS.BATCH</t>
  </si>
  <si>
    <t>WF.RPM_INTRA_DAY_LAST_CHAIN</t>
  </si>
  <si>
    <t>PHASE_0</t>
  </si>
  <si>
    <t>WF.AD_HOC.RPAS</t>
  </si>
  <si>
    <t>WF.RPM_ADHOC</t>
  </si>
  <si>
    <t>RMS.RMS_RPAS_MSTR_FILES</t>
  </si>
  <si>
    <t>Sales Cut off</t>
  </si>
  <si>
    <t>PHASE_1</t>
  </si>
  <si>
    <t>RMS.NB_INTG_RDW</t>
  </si>
  <si>
    <t>RPM_BATCH</t>
  </si>
  <si>
    <t>JOBP.RMS_RPAS_TRANSACTIONAL_DATA</t>
  </si>
  <si>
    <t>PHASE_2</t>
  </si>
  <si>
    <t>PHASE_3</t>
  </si>
  <si>
    <t>RMS.NB_INTG_DAILY_TRANS</t>
  </si>
  <si>
    <t>SALAPND</t>
  </si>
  <si>
    <t>NB_GL_EXTRACT_DAS</t>
  </si>
  <si>
    <t>PHASE_4</t>
  </si>
  <si>
    <t>WF.RMS.NB_PHASE_3_INVENTORY</t>
  </si>
  <si>
    <t>NB_RMSE_RPAS_PO_COMMITMENT</t>
  </si>
  <si>
    <t>RMS.NB_RMSE_RPAS_INV_PRE</t>
  </si>
  <si>
    <t>WF.RMS.PHASE_8</t>
  </si>
  <si>
    <t>WF.RMS.NB_EXPORT_SNAPSHOT</t>
  </si>
  <si>
    <t>NB_INTG_STOCK_SNAP</t>
  </si>
  <si>
    <t>NB_INTG_STOCK_SNAP_NON_SALE</t>
  </si>
  <si>
    <t xml:space="preserve"> </t>
  </si>
  <si>
    <t>NB_SAL_RET_PROCESS</t>
  </si>
  <si>
    <t>DATE_SET</t>
  </si>
  <si>
    <t>WF.RESA.PURGE</t>
  </si>
  <si>
    <t>WF.RD.DASH_INTAKE</t>
  </si>
  <si>
    <t>s</t>
  </si>
  <si>
    <t>Name</t>
  </si>
  <si>
    <t>Type</t>
  </si>
  <si>
    <t>RunID</t>
  </si>
  <si>
    <t>Parent</t>
  </si>
  <si>
    <t>Status</t>
  </si>
  <si>
    <t>Runtime</t>
  </si>
  <si>
    <t>Start  time</t>
  </si>
  <si>
    <t>End time</t>
  </si>
  <si>
    <t xml:space="preserve"> Activation time</t>
  </si>
  <si>
    <t>JOBP</t>
  </si>
  <si>
    <t>ENDED_OK - ended normally</t>
  </si>
  <si>
    <t>TRUNCTBL.NIL_INPUT_WORKING</t>
  </si>
  <si>
    <t>JOBS</t>
  </si>
  <si>
    <t>ENDED_INACTIVE_OBJECT - Object is inactive due to definition.</t>
  </si>
  <si>
    <t>WF.RDF_FORECAST_EXPORT</t>
  </si>
  <si>
    <t>RMS.NB_RETURN_FILE_TRANSFER_TO_RPAS</t>
  </si>
  <si>
    <t>RMS.NB_SALE_FILE_TRANSFER_TO_RPAS</t>
  </si>
  <si>
    <t>RMS.NB_RPAS_SALES_TO_OUTBOUND</t>
  </si>
  <si>
    <t>RMS.NB_RMSE_RPAS_SAL_RET_POST</t>
  </si>
  <si>
    <t>RMS.NB_RPAS_RETURN_TO_OUTBOUND</t>
  </si>
  <si>
    <t>RMS.NB_RMSE_RPAS_SALESRETURNS</t>
  </si>
  <si>
    <t>RMS.NB_RMSE_RPAS_SAL_RET_PRE</t>
  </si>
  <si>
    <t>RMS.NB_INTG_CUST_RETURN</t>
  </si>
  <si>
    <t>RMS.NB_CUST_RET_PURGE</t>
  </si>
  <si>
    <t>RMS.NB_CUST_RET_POST</t>
  </si>
  <si>
    <t>RMS.NB_CUST_RET</t>
  </si>
  <si>
    <t>RMS.NB_CUST_RET_PRE</t>
  </si>
  <si>
    <t>CALL.EMAIL.BATCH.START</t>
  </si>
  <si>
    <t>CALL</t>
  </si>
  <si>
    <t>RMS.NB_GATHER_STATS</t>
  </si>
  <si>
    <t>WF_START_STOP_JOB_FIN</t>
  </si>
  <si>
    <t>WF_START_STOP_JOB</t>
  </si>
  <si>
    <t>WF.S_RPM_INTRA_DAY_LAST_CHAIN</t>
  </si>
  <si>
    <t>J_NB_RPM_PAYLOAD_PURGE</t>
  </si>
  <si>
    <t>J_CL_PUB_EXPORT_CP_ARCHIVE</t>
  </si>
  <si>
    <t>J_CL_PUB_EXPORT</t>
  </si>
  <si>
    <t>J_PROM_PUB_EXPORT_CP_ARCHIVE</t>
  </si>
  <si>
    <t>J_PROM_PUB_EXPORT</t>
  </si>
  <si>
    <t>J_REG_PC_PUB_EXPORT_CP_ARCHIVE</t>
  </si>
  <si>
    <t>J_PROM_PUB_BATCH</t>
  </si>
  <si>
    <t>J_NB_MA_INJECTOR_SP_POST_N</t>
  </si>
  <si>
    <t>J_INJECTOR_PRICE_EVENT_SP_N</t>
  </si>
  <si>
    <t>J_NB_MA_INJECTOR_SP_POST_A</t>
  </si>
  <si>
    <t>J_REG_PC_PUB_EXPORT</t>
  </si>
  <si>
    <t>J_INJECTOR_PRICE_EVENT_SP_A</t>
  </si>
  <si>
    <t>J_NB_MA_INJECTOR_SP_PRE_A</t>
  </si>
  <si>
    <t>J_CL_PUB_BATCH</t>
  </si>
  <si>
    <t>J_NB_MA_INJECTOR_CL_POST_N</t>
  </si>
  <si>
    <t>J_INJECTOR_PRICE_EVENT_CL_N</t>
  </si>
  <si>
    <t>J_NB_MA_INJECTOR_CL_POST_A</t>
  </si>
  <si>
    <t>J_INJECTOR_PRICE_EVENT_CL_A</t>
  </si>
  <si>
    <t>J_NB_MA_INJECTOR_CL_PRE_A</t>
  </si>
  <si>
    <t>J_REG_PC_PUB_BATCH</t>
  </si>
  <si>
    <t>J_NB_MA_INJECTOR_PC_POST_W</t>
  </si>
  <si>
    <t>J_INJECTOR_PRICE_EVENT_PC_W</t>
  </si>
  <si>
    <t>J_NB_MA_INJECTOR_PC_POST_A</t>
  </si>
  <si>
    <t>J_INJECTOR_PRICE_EVENT_PC_A</t>
  </si>
  <si>
    <t>J_NB_MA_INJECTOR_PC_PRE_A</t>
  </si>
  <si>
    <t>RMS.NB_GATHER_STATS_RPM</t>
  </si>
  <si>
    <t>J_NEW_ITEMLOC_INTRA_DAY</t>
  </si>
  <si>
    <t>RPM.NB_REPRICE_PROCESS</t>
  </si>
  <si>
    <t>RPM.NB_UPDATE_PRICING_METHOD</t>
  </si>
  <si>
    <t>RPM.NB_OUTLET_PRICE</t>
  </si>
  <si>
    <t>RPM.NIGHTLY_BATCH_CLEANUP</t>
  </si>
  <si>
    <t>PRE_BTCHCYCL</t>
  </si>
  <si>
    <t>RMS.NB_THREAD_RESET</t>
  </si>
  <si>
    <t>RPM.NIGHTLY_BATCH_CLEANUP_POST</t>
  </si>
  <si>
    <t>RPM.NIGHTLY_BATCH_CLEANUP_PRE</t>
  </si>
  <si>
    <t>RMS_RIB_NONINV_SUB_STOP</t>
  </si>
  <si>
    <t>WF.RPM.NB_RPM_APP_SERVER_BOUNCE</t>
  </si>
  <si>
    <t>PRE_START_BATCH</t>
  </si>
  <si>
    <t>WF.AD_HOC.AIP</t>
  </si>
  <si>
    <t>ENDED_SKIPPED - Skipped because of conditions.</t>
  </si>
  <si>
    <t>AD_HOC</t>
  </si>
  <si>
    <t>RMS.EXTRACT_MASTER_TO_INTG</t>
  </si>
  <si>
    <t>RMS.RMS_RPAS_MSTR_FILES_OUTBOUND_FTP_TO_RPAS</t>
  </si>
  <si>
    <t>RMS.BATCH_DITINSRT</t>
  </si>
  <si>
    <t>RMS.NB_DLYPRG</t>
  </si>
  <si>
    <t>RESA</t>
  </si>
  <si>
    <t>SAPOST_SAEXPDW</t>
  </si>
  <si>
    <t>RMS.NB_SAEXPDW</t>
  </si>
  <si>
    <t>SAPOST_SAEXPRMS</t>
  </si>
  <si>
    <t>RMS.NB_SAEXPGL</t>
  </si>
  <si>
    <t>SAESCHEAT</t>
  </si>
  <si>
    <t>WF.RMS.BATCH_RESA2SIM</t>
  </si>
  <si>
    <t>RMS.SAEXPDW</t>
  </si>
  <si>
    <t>SAEXPUAR</t>
  </si>
  <si>
    <t>SAEXPIM</t>
  </si>
  <si>
    <t>RMS.ANG_SAPLGEN</t>
  </si>
  <si>
    <t>ENDED_INACTIVE - Task was manually set inactive.</t>
  </si>
  <si>
    <t>SAORDINVEXP</t>
  </si>
  <si>
    <t>SAEXPACH</t>
  </si>
  <si>
    <t>SAIMPADJ</t>
  </si>
  <si>
    <t>RMS.NB_SAEXPRMS</t>
  </si>
  <si>
    <t>WF.RESA_NB_SAEXPWEBDEP</t>
  </si>
  <si>
    <t>RMS.NB_SAPREEXP</t>
  </si>
  <si>
    <t>RMS.NB_SASTDY_CLOSE</t>
  </si>
  <si>
    <t>RMS.NB_SARULES</t>
  </si>
  <si>
    <t>RMS.NB_SATOTALS</t>
  </si>
  <si>
    <t>RMS.NB_SAIMPTLOG_TAX_POST</t>
  </si>
  <si>
    <t>RMS.NB_SAIMPTLOG_TAX</t>
  </si>
  <si>
    <t>RMS.NB_SAIMPTLOG_TAX_PRE</t>
  </si>
  <si>
    <t>RMS.NB_RTSA_RESA_RECOVERY_KNOWN_ERRORS</t>
  </si>
  <si>
    <t>RMS.NB_SAIMPTLOG_RND</t>
  </si>
  <si>
    <t>WF.RMS.SAVOUCH</t>
  </si>
  <si>
    <t>SAIMPTLOGFIN</t>
  </si>
  <si>
    <t>SAPOST_SAIMPTLOGI</t>
  </si>
  <si>
    <t>RMS.NB_SAIMPTLOGI</t>
  </si>
  <si>
    <t>SAPRE_SAIMPTLOGI</t>
  </si>
  <si>
    <t>RMS.SAGETREF</t>
  </si>
  <si>
    <t>RMS.NB_SASTDY_REOPEN</t>
  </si>
  <si>
    <t>RM_OLD_SAGETREF_FILES</t>
  </si>
  <si>
    <t>RPM.RPM_TO_ORPOS_PUBLISH_EXPORT_RMSDB</t>
  </si>
  <si>
    <t>RMS.NB_REFRESH_MA_MV_PRICES</t>
  </si>
  <si>
    <t>RPM.PURGE_PAYLOADS_BATCH_RMSDB</t>
  </si>
  <si>
    <t>RPM.MERCH_EXTRACT_KICKOFF_BATCH</t>
  </si>
  <si>
    <t>NB_PRICE_EMAIL</t>
  </si>
  <si>
    <t>RPM.PROMOTION_ARCHIVE_BATCH</t>
  </si>
  <si>
    <t>RPM.PURGE_GTT_CAPTURE_BATCH</t>
  </si>
  <si>
    <t>RPM.PURGE_BATCH</t>
  </si>
  <si>
    <t>RPM.FUTURE_RETAIL_PURGE_BATCH</t>
  </si>
  <si>
    <t>RMS.NB_REFRESH_MA_R_PRICES</t>
  </si>
  <si>
    <t>RPM.PRICE_EVENT_EXECUTION_DEALS_BATCH</t>
  </si>
  <si>
    <t>RPM.PRICE_EVENT_EXECUTION_RMS_BATCH</t>
  </si>
  <si>
    <t>RPM.PRICE_EVENT_EXECUTION_BATCH</t>
  </si>
  <si>
    <t>RPM.LOCATION_MOVE_BATCH</t>
  </si>
  <si>
    <t>RPM.LOCATION_MOVE_SCHEDULE_BATCH</t>
  </si>
  <si>
    <t>RPM.NEW_ITEM_LOC_BATCH</t>
  </si>
  <si>
    <t>RPM.NB_RPM_ITEM_RECLASS</t>
  </si>
  <si>
    <t>RPM.PROMOTION_PRICE_CHANGE_PUBLISH_EXPORT</t>
  </si>
  <si>
    <t>RPM.CLEARANCE_PRICE_CHANGE_PUBLISH_EXPORT</t>
  </si>
  <si>
    <t>RPM.WORKSHEET_AUTO_APPROVE_BATCH</t>
  </si>
  <si>
    <t>RPM.PROMOTION_PRICE_CHANGE_PUBLISH_EXPORT_RMSDB</t>
  </si>
  <si>
    <t>RPM.CLEARANCE_PRICE_CHANGE_PUBLISH_EXPORT_RMSDB</t>
  </si>
  <si>
    <t>RPM.REGULAR_PRICE_CHANGE_PUBLISH_EXPORT_RMSDB</t>
  </si>
  <si>
    <t>RPM.REGULAR_PRICE_CHANGE_PUBLISH_EXPORT</t>
  </si>
  <si>
    <t>RPM.CLEARANCE_PRICE_CHANGE_PUBLISH_BATCH</t>
  </si>
  <si>
    <t>RPM.REGULAR_PRICE_CHANGE_PUBLISH_BATCH</t>
  </si>
  <si>
    <t>RPM.PRICE_STRATEGY_CALENDAR_BATCH</t>
  </si>
  <si>
    <t>RPM.PROMOTION_PRICE_CHANGE_PUBLISH_BATCH</t>
  </si>
  <si>
    <t>RMS.NB_POCOMMITMENT_FILE_TRANSFER_TO_RPAS</t>
  </si>
  <si>
    <t>RMS.NB_INVENTORY_FILE_TRANSFER_TO_RPAS</t>
  </si>
  <si>
    <t>RMS.NB_RPAS_INVENTORY_TO_OUTBOUND</t>
  </si>
  <si>
    <t>RMS.NB_RPAS_PO_COMMITMENT_TO_OUTBOUND</t>
  </si>
  <si>
    <t>RMS.SALESUPLOADARCH</t>
  </si>
  <si>
    <t>RMS.NB_POSU_FILE_MOVE_TO_ARCH</t>
  </si>
  <si>
    <t>RMS.SALESPROCESS</t>
  </si>
  <si>
    <t>ENDED_NOT_OK - aborted</t>
  </si>
  <si>
    <t>FCEXEC</t>
  </si>
  <si>
    <t>PRE_FCEXEC</t>
  </si>
  <si>
    <t>FCTHREADEXEC</t>
  </si>
  <si>
    <t>RMS.FCTHREADEXEC_TRUNC</t>
  </si>
  <si>
    <t>RMS.UPLOADSALES_ALL</t>
  </si>
  <si>
    <t>RMS.NB_POSU_FILE_MOVEMENT</t>
  </si>
  <si>
    <t>INVCLSHP</t>
  </si>
  <si>
    <t>CEDNLD</t>
  </si>
  <si>
    <t>RMS.ELCEXCPRG</t>
  </si>
  <si>
    <t>POST_BATCH_COSTCOMPUPD</t>
  </si>
  <si>
    <t>BATCH_DEPCHRGUPD</t>
  </si>
  <si>
    <t>BATCH_ITMCOSTCOMPUPD</t>
  </si>
  <si>
    <t>BATCH_ALLOCTSFUPD</t>
  </si>
  <si>
    <t>BATCH_EXPPROFUPD</t>
  </si>
  <si>
    <t>BATCH_COMPEFFUPD</t>
  </si>
  <si>
    <t>RMS_RIB_SUB_STOP</t>
  </si>
  <si>
    <t>RMS_EXTRACT_TO_IAP</t>
  </si>
  <si>
    <t>SIM_BATCH</t>
  </si>
  <si>
    <t>RMS.NB_PO_DATE_COST_RECALC</t>
  </si>
  <si>
    <t>RMS.NB_PO_RECALC</t>
  </si>
  <si>
    <t>WF.RMS.PHASE_3.SALES_AND_DEALS</t>
  </si>
  <si>
    <t>RMS.NB_INTG_GL_EXTRACT</t>
  </si>
  <si>
    <t>SALMTH_AND_POST</t>
  </si>
  <si>
    <t>POST_DEALDAY</t>
  </si>
  <si>
    <t>SALWEEK_AND_POST</t>
  </si>
  <si>
    <t>DEALDAY</t>
  </si>
  <si>
    <t>RMS.NB_FIFGLDN4</t>
  </si>
  <si>
    <t>FIFGLDN3</t>
  </si>
  <si>
    <t>SALEOH</t>
  </si>
  <si>
    <t>PRE_SALEOH</t>
  </si>
  <si>
    <t>RMS.NB_GL_EXTRACT_DAS</t>
  </si>
  <si>
    <t>RMS.NB_GL_EXTRACT</t>
  </si>
  <si>
    <t>RMS.NB_FIFGLAGG</t>
  </si>
  <si>
    <t>RMS.NB_FIFGLAGG_PRE</t>
  </si>
  <si>
    <t>FIFGLDN1</t>
  </si>
  <si>
    <t>PRE_DEALDAY</t>
  </si>
  <si>
    <t>RMS.NB_TSF_PRICE</t>
  </si>
  <si>
    <t>DEALFINC</t>
  </si>
  <si>
    <t>RMS.NB_FIFGLDN2_POST</t>
  </si>
  <si>
    <t>DEALINC</t>
  </si>
  <si>
    <t>POST_VENDINVC</t>
  </si>
  <si>
    <t>DEALFCT_POST</t>
  </si>
  <si>
    <t>POST_VENDINVF</t>
  </si>
  <si>
    <t>VENDINVC</t>
  </si>
  <si>
    <t>DEALFCT</t>
  </si>
  <si>
    <t>PRE_DEALFCT</t>
  </si>
  <si>
    <t>PRE_VENDINVC</t>
  </si>
  <si>
    <t>RMS.NB_GL_COST_COMP</t>
  </si>
  <si>
    <t>FIFGLDN2</t>
  </si>
  <si>
    <t>RMS.NB_IF_TRAN_DATA_EXT</t>
  </si>
  <si>
    <t>PRE_DEALINC</t>
  </si>
  <si>
    <t>RPMMOVAVG</t>
  </si>
  <si>
    <t>RMS.TRANDATAPROCESS</t>
  </si>
  <si>
    <t>RMS.TRANDATALOAD</t>
  </si>
  <si>
    <t>STKDLY</t>
  </si>
  <si>
    <t>VENDINVF</t>
  </si>
  <si>
    <t>PRE_VENDINVF</t>
  </si>
  <si>
    <t>DEALACT</t>
  </si>
  <si>
    <t>SALDLY</t>
  </si>
  <si>
    <t>PRE_DEALACT_SALES</t>
  </si>
  <si>
    <t>POST_DEALCLS</t>
  </si>
  <si>
    <t>PRE_DEALACT_PO</t>
  </si>
  <si>
    <t>PRE_DEALACT_NOR</t>
  </si>
  <si>
    <t>DEALCLS</t>
  </si>
  <si>
    <t>SALSTAGE</t>
  </si>
  <si>
    <t>POST_SUPMTH</t>
  </si>
  <si>
    <t>POST_SCCEXT</t>
  </si>
  <si>
    <t>SUPMTH</t>
  </si>
  <si>
    <t>SCCEXT</t>
  </si>
  <si>
    <t>WF.RMS.PHASE_3.REPLENISHMENT</t>
  </si>
  <si>
    <t>ORDREV</t>
  </si>
  <si>
    <t>EDIDLORD</t>
  </si>
  <si>
    <t>OTBDLSAL</t>
  </si>
  <si>
    <t>OTBDLORD</t>
  </si>
  <si>
    <t>DISCOTBAPPLY</t>
  </si>
  <si>
    <t>OTBDNLD</t>
  </si>
  <si>
    <t>ORDUPD</t>
  </si>
  <si>
    <t>ORDDSCNT</t>
  </si>
  <si>
    <t>RMS.NB_BUYRARCHY_RECLASS</t>
  </si>
  <si>
    <t>CREMHIERDLY</t>
  </si>
  <si>
    <t>ONORDDNLD</t>
  </si>
  <si>
    <t>ONICTEXT</t>
  </si>
  <si>
    <t>LCMT700</t>
  </si>
  <si>
    <t>LCMT707</t>
  </si>
  <si>
    <t>ONORDEXT</t>
  </si>
  <si>
    <t>SOUTDNLD</t>
  </si>
  <si>
    <t>TXRTUPLD</t>
  </si>
  <si>
    <t>LCMDNLD</t>
  </si>
  <si>
    <t>LCADNLD</t>
  </si>
  <si>
    <t>STLGDNLD</t>
  </si>
  <si>
    <t>EDIDLINV</t>
  </si>
  <si>
    <t>RMS.NB_STYLE_RECLASS_POST</t>
  </si>
  <si>
    <t>POST_RECLSDLY</t>
  </si>
  <si>
    <t>RECLSDLY</t>
  </si>
  <si>
    <t>PRE_RECLSDLY</t>
  </si>
  <si>
    <t>RMS.NB_STYLE_RECLASS_PRE</t>
  </si>
  <si>
    <t>WF.RMSE_RPAS_EXTRACT</t>
  </si>
  <si>
    <t>WF.PHASE_4.AIP</t>
  </si>
  <si>
    <t>WF.RDF_BATCH</t>
  </si>
  <si>
    <t>WF.PHASE_5</t>
  </si>
  <si>
    <t>WF.PHASE_6</t>
  </si>
  <si>
    <t>WF.PHASE_7</t>
  </si>
  <si>
    <t>RMS.NB_DELIVERY_SCHEDULE_FILE_TRANSFER_TO_RPAS</t>
  </si>
  <si>
    <t>RMS.INT_EXPORT_DELIVERY_SCHEDULE</t>
  </si>
  <si>
    <t>RMS.INT_EXPORT_DELIVERY_SCHEDULE_PRE</t>
  </si>
  <si>
    <t>RMS.NB_GATHER_STATS_COMMITMENT</t>
  </si>
  <si>
    <t>RMS.NB_INTG_PO_COMMITMENT</t>
  </si>
  <si>
    <t>RMS.NB_RMSE_RPAS_INVENTORY</t>
  </si>
  <si>
    <t>RMS.NB_SNAPSHOT_ILS</t>
  </si>
  <si>
    <t>RMS.NB_STOCK_BUCKETS_EOD</t>
  </si>
  <si>
    <t>RMS.NB_STOCK_BUCKETS_IWT_PRE</t>
  </si>
  <si>
    <t>RMS.INT_INV_PRE_TRAN</t>
  </si>
  <si>
    <t>RMS.INT_INV_PRE_SHIP</t>
  </si>
  <si>
    <t>RMS.NB_UPD_CFA_EXCEPTION_LOCS</t>
  </si>
  <si>
    <t>RMS.NB_RMSE_RPAS_PO_COMMITMENT</t>
  </si>
  <si>
    <t>WF.SP.NB_CANCEL_PURGE</t>
  </si>
  <si>
    <t>RMS.NB_COMMITMENT_REFRESH</t>
  </si>
  <si>
    <t>WF.NB_AUTOPO_PROCESSING</t>
  </si>
  <si>
    <t>RMS.NB_COMMITMENT_REFRESH_PRE</t>
  </si>
  <si>
    <t>RMS.REFEODINVENTORY</t>
  </si>
  <si>
    <t>RMS.WASTEADJ</t>
  </si>
  <si>
    <t>RMS.NB_SNAPSHOT_INV_STATUS</t>
  </si>
  <si>
    <t>WF.RD.NB_FIN_GL_PO_REFRESH</t>
  </si>
  <si>
    <t>RD.FIN_MV_ORDER_CASH</t>
  </si>
  <si>
    <t>RD.FIN_MV_DAY_GL_STOCK_DATA</t>
  </si>
  <si>
    <t>RD.FIN_MV_LATE_TRANSACTIONS</t>
  </si>
  <si>
    <t>RD.FIN_MV_WEEK_GL_STOCK_DATA</t>
  </si>
  <si>
    <t>RD.FIN_MV_PO_RECEIPTS</t>
  </si>
  <si>
    <t>RD.FIN_MV_GL_SALES_DATA</t>
  </si>
  <si>
    <t>RMS.NB_INTG_STOCK_SNAP_NON_SALE</t>
  </si>
  <si>
    <t>RMS.NB_INTG_STOCK_SNAP</t>
  </si>
  <si>
    <t>NB.CONCAT_FILE</t>
  </si>
  <si>
    <t>RMS.NB_EXT_SNAPSHOT_ILS</t>
  </si>
  <si>
    <t>RMS.NB_EXT_SNAPSHOT_INV</t>
  </si>
  <si>
    <t>WF.PHASE_4.RPAS</t>
  </si>
  <si>
    <t>RMSL_RPAS_UPDATE_RETL_DATE</t>
  </si>
  <si>
    <t>RMS.NB_SIZEPROF_INTG_INBOUND_TO_RMS</t>
  </si>
  <si>
    <t>RMS.NB_SIZEPROF_UPLOAD</t>
  </si>
  <si>
    <t>RMS.NB_ITEMLIST_UPLOAD_POST</t>
  </si>
  <si>
    <t>RMS.NB_ITEMLIST_UPLOAD</t>
  </si>
  <si>
    <t>RMS.NB_SIZEPROF_UPLOAD_POST</t>
  </si>
  <si>
    <t>NB_ITEMLIST_UPLOAD_PRE</t>
  </si>
  <si>
    <t>RMS.NB_SIZE_PROFILE_UPLOAD_PRE</t>
  </si>
  <si>
    <t>RMS.NB_GATHER_STATS_RESA</t>
  </si>
  <si>
    <t>SAPOST_SAPURGE</t>
  </si>
  <si>
    <t>NB_SAPURGE</t>
  </si>
  <si>
    <t>SAPRE_SAPURGE</t>
  </si>
  <si>
    <t>RMS.NB_GATHER_STATS_TDH</t>
  </si>
  <si>
    <t>NB_INTAKE_REPLICATION_POST</t>
  </si>
  <si>
    <t>RD.NB_RECLASS_BASE_REFRESH</t>
  </si>
  <si>
    <t>RD.NB_INTAKE_ITEM_REFRESH</t>
  </si>
  <si>
    <t>RD.NB_INTAKE_ITEM_DTL_REFRESH</t>
  </si>
  <si>
    <t>RD.NB_INTAKE_BASE_REFRESH</t>
  </si>
  <si>
    <t>NB_INTAKE_REPLICATION_PRE</t>
  </si>
  <si>
    <t>NB_INTAKE_REPLICATION_SET</t>
  </si>
  <si>
    <t>RMS.NB_MA_REFRESH_ITEM_SEARCH</t>
  </si>
  <si>
    <t>RMS_MSTEAMS_BATCH_START</t>
  </si>
  <si>
    <t>SlNo</t>
  </si>
  <si>
    <t>Intra-day chains</t>
  </si>
  <si>
    <t>NB_TCKTDNLD</t>
  </si>
  <si>
    <t>RESA_INTRA_DAY_CHAIN</t>
  </si>
  <si>
    <t>S_RPM_INTRA_DAY</t>
  </si>
  <si>
    <t>DASH_ACT_STK_INTRA_DAY</t>
  </si>
  <si>
    <t>DASH_TSF_DISC_INTRA_DAY</t>
  </si>
  <si>
    <t>DASH_INTRA_DAY</t>
  </si>
  <si>
    <t>Stock Auto correction -1001</t>
  </si>
  <si>
    <t>Stock Auto correction -4001</t>
  </si>
  <si>
    <t>Stock Auto correction -3001</t>
  </si>
  <si>
    <t>Stock Auto correction -1011</t>
  </si>
  <si>
    <t>Stock Auto correction -1014</t>
  </si>
  <si>
    <t>Stock Auto correction -1015</t>
  </si>
  <si>
    <t>Stock Auto correction -4012</t>
  </si>
  <si>
    <t>Stock Auto correction -4013</t>
  </si>
  <si>
    <t>Stock Auto correction -6001</t>
  </si>
  <si>
    <t>end time</t>
  </si>
  <si>
    <t>RPAS  (Foundation)</t>
  </si>
  <si>
    <t>Data Service (Sales)</t>
  </si>
  <si>
    <t>JOBP.RMS_RPAS_TRANSACTIONAL</t>
  </si>
  <si>
    <t>RPAS  (Transaction)</t>
  </si>
  <si>
    <t>NB_INTG_DAILY_TRANS</t>
  </si>
  <si>
    <t>Data Service (daily transactions)</t>
  </si>
  <si>
    <t xml:space="preserve"> Tran data  history </t>
  </si>
  <si>
    <t>Finance GL Extract</t>
  </si>
  <si>
    <t>PO Commitment</t>
  </si>
  <si>
    <t>RPAS Inventory Pre</t>
  </si>
  <si>
    <t>Data Service (Stock)</t>
  </si>
  <si>
    <t>ReSA Peak Sales Baseline test Post Data Refresh</t>
  </si>
  <si>
    <t>1h 24m</t>
  </si>
  <si>
    <t>53m</t>
  </si>
  <si>
    <t>26m</t>
  </si>
  <si>
    <t>RA</t>
  </si>
  <si>
    <t>Unix</t>
  </si>
  <si>
    <t>Platform</t>
  </si>
  <si>
    <t>1h 14m</t>
  </si>
  <si>
    <t>55m</t>
  </si>
  <si>
    <t>1h 23m</t>
  </si>
  <si>
    <t>1h 28m</t>
  </si>
  <si>
    <t>1h 33m</t>
  </si>
  <si>
    <t>ReSA Peak Sales test Post Data Refresh + Patch Deployment</t>
  </si>
  <si>
    <t>Result post Patch deployment (24-Mar)</t>
  </si>
  <si>
    <t>Result post medium &amp; RU Patch deployment (14-Apr)</t>
  </si>
  <si>
    <t>1h 19m</t>
  </si>
  <si>
    <t>54m</t>
  </si>
  <si>
    <t>1h 21m</t>
  </si>
  <si>
    <t>1h 27m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</si>
</sst>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color rgb="FF424242"/>
      <name val="Arial"/>
      <family val="2"/>
    </font>
    <font>
      <sz val="9"/>
      <color rgb="FF1E1E1E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E1E1E"/>
      <name val="Calibri"/>
      <family val="2"/>
      <scheme val="minor"/>
    </font>
    <font>
      <sz val="12"/>
      <color rgb="FF424242"/>
      <name val="Calibri"/>
      <family val="2"/>
      <scheme val="minor"/>
    </font>
    <font>
      <sz val="12"/>
      <color theme="1"/>
      <name val="Calibri Light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DE48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164" fontId="1" fillId="2" borderId="0" xfId="0" applyNumberFormat="1" applyFont="1" applyFill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1" fontId="1" fillId="2" borderId="8" xfId="0" applyNumberFormat="1" applyFont="1" applyFill="1" applyBorder="1" applyAlignment="1">
      <alignment horizontal="center" vertical="center"/>
    </xf>
    <xf numFmtId="1" fontId="1" fillId="3" borderId="8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1" fillId="4" borderId="8" xfId="0" applyFont="1" applyFill="1" applyBorder="1" applyAlignment="1">
      <alignment horizontal="center" vertical="center"/>
    </xf>
    <xf numFmtId="1" fontId="1" fillId="2" borderId="8" xfId="0" applyNumberFormat="1" applyFont="1" applyFill="1" applyBorder="1"/>
    <xf numFmtId="9" fontId="1" fillId="2" borderId="0" xfId="0" applyNumberFormat="1" applyFont="1" applyFill="1"/>
    <xf numFmtId="1" fontId="1" fillId="2" borderId="8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wrapText="1"/>
    </xf>
    <xf numFmtId="1" fontId="1" fillId="2" borderId="8" xfId="0" applyNumberFormat="1" applyFont="1" applyFill="1" applyBorder="1" applyAlignment="1">
      <alignment vertical="center"/>
    </xf>
    <xf numFmtId="1" fontId="1" fillId="2" borderId="0" xfId="0" applyNumberFormat="1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" fontId="1" fillId="7" borderId="8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1" fontId="1" fillId="7" borderId="8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vertical="center"/>
    </xf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5" xfId="0" applyFont="1" applyFill="1" applyBorder="1" applyAlignment="1">
      <alignment horizontal="center"/>
    </xf>
    <xf numFmtId="0" fontId="1" fillId="2" borderId="17" xfId="0" applyFont="1" applyFill="1" applyBorder="1"/>
    <xf numFmtId="0" fontId="1" fillId="2" borderId="0" xfId="0" applyFont="1" applyFill="1" applyAlignment="1">
      <alignment horizontal="right"/>
    </xf>
    <xf numFmtId="1" fontId="1" fillId="2" borderId="0" xfId="0" applyNumberFormat="1" applyFont="1" applyFill="1"/>
    <xf numFmtId="1" fontId="1" fillId="2" borderId="0" xfId="0" applyNumberFormat="1" applyFont="1" applyFill="1" applyBorder="1" applyAlignment="1">
      <alignment horizontal="center"/>
    </xf>
    <xf numFmtId="1" fontId="1" fillId="8" borderId="8" xfId="0" applyNumberFormat="1" applyFont="1" applyFill="1" applyBorder="1"/>
    <xf numFmtId="1" fontId="1" fillId="7" borderId="8" xfId="0" applyNumberFormat="1" applyFont="1" applyFill="1" applyBorder="1" applyAlignment="1">
      <alignment vertical="center"/>
    </xf>
    <xf numFmtId="1" fontId="1" fillId="0" borderId="8" xfId="0" applyNumberFormat="1" applyFont="1" applyFill="1" applyBorder="1"/>
    <xf numFmtId="0" fontId="3" fillId="5" borderId="8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vertical="center" wrapText="1"/>
    </xf>
    <xf numFmtId="0" fontId="5" fillId="9" borderId="0" xfId="0" applyFont="1" applyFill="1" applyAlignment="1">
      <alignment horizontal="left" vertical="center" indent="2"/>
    </xf>
    <xf numFmtId="21" fontId="5" fillId="9" borderId="0" xfId="0" applyNumberFormat="1" applyFont="1" applyFill="1" applyAlignment="1">
      <alignment horizontal="left" vertical="center"/>
    </xf>
    <xf numFmtId="22" fontId="5" fillId="9" borderId="0" xfId="0" applyNumberFormat="1" applyFont="1" applyFill="1" applyAlignment="1">
      <alignment horizontal="left" vertical="center"/>
    </xf>
    <xf numFmtId="22" fontId="6" fillId="10" borderId="0" xfId="0" applyNumberFormat="1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 indent="4"/>
    </xf>
    <xf numFmtId="21" fontId="6" fillId="11" borderId="0" xfId="0" applyNumberFormat="1" applyFont="1" applyFill="1" applyAlignment="1">
      <alignment horizontal="left" vertical="center"/>
    </xf>
    <xf numFmtId="22" fontId="6" fillId="11" borderId="0" xfId="0" applyNumberFormat="1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 indent="4"/>
    </xf>
    <xf numFmtId="0" fontId="6" fillId="10" borderId="0" xfId="0" applyFont="1" applyFill="1" applyAlignment="1">
      <alignment vertical="center"/>
    </xf>
    <xf numFmtId="21" fontId="6" fillId="10" borderId="0" xfId="0" applyNumberFormat="1" applyFont="1" applyFill="1" applyAlignment="1">
      <alignment horizontal="left" vertical="center"/>
    </xf>
    <xf numFmtId="0" fontId="1" fillId="3" borderId="10" xfId="0" applyFont="1" applyFill="1" applyBorder="1"/>
    <xf numFmtId="0" fontId="1" fillId="2" borderId="10" xfId="0" applyFont="1" applyFill="1" applyBorder="1"/>
    <xf numFmtId="0" fontId="6" fillId="11" borderId="0" xfId="0" applyFont="1" applyFill="1" applyAlignment="1">
      <alignment vertical="center"/>
    </xf>
    <xf numFmtId="0" fontId="6" fillId="12" borderId="0" xfId="0" applyFont="1" applyFill="1" applyAlignment="1">
      <alignment vertical="center"/>
    </xf>
    <xf numFmtId="0" fontId="1" fillId="3" borderId="0" xfId="0" applyFont="1" applyFill="1"/>
    <xf numFmtId="0" fontId="5" fillId="0" borderId="0" xfId="0" applyFont="1" applyAlignment="1">
      <alignment vertical="center"/>
    </xf>
    <xf numFmtId="0" fontId="0" fillId="13" borderId="0" xfId="0" applyFill="1"/>
    <xf numFmtId="0" fontId="7" fillId="14" borderId="8" xfId="0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8" xfId="0" applyFont="1" applyBorder="1"/>
    <xf numFmtId="0" fontId="1" fillId="2" borderId="8" xfId="0" applyFont="1" applyFill="1" applyBorder="1"/>
    <xf numFmtId="21" fontId="1" fillId="2" borderId="8" xfId="0" applyNumberFormat="1" applyFont="1" applyFill="1" applyBorder="1" applyAlignment="1">
      <alignment horizontal="center"/>
    </xf>
    <xf numFmtId="21" fontId="10" fillId="2" borderId="8" xfId="0" applyNumberFormat="1" applyFont="1" applyFill="1" applyBorder="1" applyAlignment="1">
      <alignment horizontal="center" vertical="center"/>
    </xf>
    <xf numFmtId="22" fontId="10" fillId="2" borderId="8" xfId="0" applyNumberFormat="1" applyFont="1" applyFill="1" applyBorder="1" applyAlignment="1">
      <alignment horizontal="center" vertical="center"/>
    </xf>
    <xf numFmtId="22" fontId="11" fillId="2" borderId="8" xfId="0" applyNumberFormat="1" applyFont="1" applyFill="1" applyBorder="1" applyAlignment="1">
      <alignment horizontal="center" vertical="center"/>
    </xf>
    <xf numFmtId="0" fontId="12" fillId="2" borderId="0" xfId="0" applyFont="1" applyFill="1"/>
    <xf numFmtId="0" fontId="12" fillId="2" borderId="8" xfId="0" applyFont="1" applyFill="1" applyBorder="1"/>
    <xf numFmtId="0" fontId="1" fillId="0" borderId="8" xfId="0" applyFont="1" applyFill="1" applyBorder="1"/>
    <xf numFmtId="21" fontId="6" fillId="12" borderId="0" xfId="0" applyNumberFormat="1" applyFont="1" applyFill="1" applyAlignment="1">
      <alignment horizontal="left" vertical="center"/>
    </xf>
    <xf numFmtId="22" fontId="6" fillId="12" borderId="0" xfId="0" applyNumberFormat="1" applyFont="1" applyFill="1" applyAlignment="1">
      <alignment horizontal="left" vertical="center"/>
    </xf>
    <xf numFmtId="0" fontId="7" fillId="14" borderId="13" xfId="0" applyFont="1" applyFill="1" applyBorder="1" applyAlignment="1">
      <alignment vertical="center"/>
    </xf>
    <xf numFmtId="0" fontId="8" fillId="14" borderId="13" xfId="0" applyFont="1" applyFill="1" applyBorder="1" applyAlignment="1">
      <alignment vertical="center"/>
    </xf>
    <xf numFmtId="0" fontId="7" fillId="14" borderId="18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left" vertical="center" indent="2"/>
    </xf>
    <xf numFmtId="0" fontId="5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vertical="center"/>
    </xf>
    <xf numFmtId="21" fontId="5" fillId="0" borderId="8" xfId="0" applyNumberFormat="1" applyFont="1" applyFill="1" applyBorder="1" applyAlignment="1">
      <alignment horizontal="left" vertical="center"/>
    </xf>
    <xf numFmtId="22" fontId="5" fillId="0" borderId="8" xfId="0" applyNumberFormat="1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 indent="4"/>
    </xf>
    <xf numFmtId="0" fontId="6" fillId="0" borderId="8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vertical="center"/>
    </xf>
    <xf numFmtId="21" fontId="6" fillId="0" borderId="8" xfId="0" applyNumberFormat="1" applyFont="1" applyFill="1" applyBorder="1" applyAlignment="1">
      <alignment horizontal="left" vertical="center"/>
    </xf>
    <xf numFmtId="22" fontId="6" fillId="0" borderId="8" xfId="0" applyNumberFormat="1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 indent="6"/>
    </xf>
    <xf numFmtId="0" fontId="6" fillId="0" borderId="8" xfId="0" applyFont="1" applyFill="1" applyBorder="1" applyAlignment="1">
      <alignment horizontal="left" vertical="center" indent="8"/>
    </xf>
    <xf numFmtId="0" fontId="5" fillId="0" borderId="8" xfId="0" applyFont="1" applyFill="1" applyBorder="1" applyAlignment="1">
      <alignment horizontal="left" vertical="center" indent="4"/>
    </xf>
    <xf numFmtId="21" fontId="10" fillId="8" borderId="8" xfId="0" applyNumberFormat="1" applyFont="1" applyFill="1" applyBorder="1" applyAlignment="1">
      <alignment horizontal="center" vertical="center"/>
    </xf>
    <xf numFmtId="22" fontId="10" fillId="8" borderId="8" xfId="0" applyNumberFormat="1" applyFont="1" applyFill="1" applyBorder="1" applyAlignment="1">
      <alignment horizontal="center" vertical="center"/>
    </xf>
    <xf numFmtId="22" fontId="11" fillId="8" borderId="8" xfId="0" applyNumberFormat="1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vertical="center"/>
    </xf>
    <xf numFmtId="1" fontId="1" fillId="7" borderId="13" xfId="0" applyNumberFormat="1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1" fontId="1" fillId="7" borderId="13" xfId="0" applyNumberFormat="1" applyFont="1" applyFill="1" applyBorder="1" applyAlignment="1">
      <alignment vertical="center"/>
    </xf>
    <xf numFmtId="1" fontId="1" fillId="7" borderId="19" xfId="0" applyNumberFormat="1" applyFont="1" applyFill="1" applyBorder="1" applyAlignment="1">
      <alignment horizontal="center" vertical="center"/>
    </xf>
    <xf numFmtId="1" fontId="1" fillId="7" borderId="20" xfId="0" applyNumberFormat="1" applyFont="1" applyFill="1" applyBorder="1" applyAlignment="1">
      <alignment horizontal="center" vertical="center"/>
    </xf>
    <xf numFmtId="1" fontId="1" fillId="7" borderId="18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17" fontId="1" fillId="2" borderId="10" xfId="0" applyNumberFormat="1" applyFont="1" applyFill="1" applyBorder="1" applyAlignment="1">
      <alignment horizontal="center"/>
    </xf>
    <xf numFmtId="21" fontId="1" fillId="2" borderId="11" xfId="0" applyNumberFormat="1" applyFont="1" applyFill="1" applyBorder="1" applyAlignment="1">
      <alignment horizontal="center"/>
    </xf>
    <xf numFmtId="21" fontId="1" fillId="2" borderId="12" xfId="0" applyNumberFormat="1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" fontId="1" fillId="7" borderId="10" xfId="0" applyNumberFormat="1" applyFont="1" applyFill="1" applyBorder="1" applyAlignment="1">
      <alignment horizontal="center" vertical="center"/>
    </xf>
    <xf numFmtId="1" fontId="1" fillId="7" borderId="11" xfId="0" applyNumberFormat="1" applyFont="1" applyFill="1" applyBorder="1" applyAlignment="1">
      <alignment horizontal="center" vertical="center"/>
    </xf>
    <xf numFmtId="1" fontId="1" fillId="7" borderId="1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right"/>
    </xf>
    <xf numFmtId="0" fontId="12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Projections for black friday 2021 using distributions of orders from previous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'[1]Peak Sales Processing '!$C$5</c:f>
              <c:strCache>
                <c:ptCount val="1"/>
                <c:pt idx="0">
                  <c:v>44162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'[1]Peak Sales Processing '!$D$5:$AA$5</c:f>
              <c:numCache>
                <c:formatCode>General</c:formatCode>
                <c:ptCount val="24"/>
                <c:pt idx="0">
                  <c:v>36357</c:v>
                </c:pt>
                <c:pt idx="1">
                  <c:v>22971</c:v>
                </c:pt>
                <c:pt idx="2">
                  <c:v>15879</c:v>
                </c:pt>
                <c:pt idx="3">
                  <c:v>13166</c:v>
                </c:pt>
                <c:pt idx="4">
                  <c:v>12213</c:v>
                </c:pt>
                <c:pt idx="5">
                  <c:v>17872</c:v>
                </c:pt>
                <c:pt idx="6">
                  <c:v>23801</c:v>
                </c:pt>
                <c:pt idx="7">
                  <c:v>37068</c:v>
                </c:pt>
                <c:pt idx="8">
                  <c:v>54590</c:v>
                </c:pt>
                <c:pt idx="9">
                  <c:v>63619</c:v>
                </c:pt>
                <c:pt idx="10">
                  <c:v>64618</c:v>
                </c:pt>
                <c:pt idx="11">
                  <c:v>69159</c:v>
                </c:pt>
                <c:pt idx="12">
                  <c:v>70723</c:v>
                </c:pt>
                <c:pt idx="13">
                  <c:v>69575</c:v>
                </c:pt>
                <c:pt idx="14">
                  <c:v>67815</c:v>
                </c:pt>
                <c:pt idx="15">
                  <c:v>66852</c:v>
                </c:pt>
                <c:pt idx="16">
                  <c:v>72575</c:v>
                </c:pt>
                <c:pt idx="17">
                  <c:v>77163</c:v>
                </c:pt>
                <c:pt idx="18">
                  <c:v>78667</c:v>
                </c:pt>
                <c:pt idx="19">
                  <c:v>83346</c:v>
                </c:pt>
                <c:pt idx="20">
                  <c:v>89615</c:v>
                </c:pt>
                <c:pt idx="21">
                  <c:v>89910</c:v>
                </c:pt>
                <c:pt idx="22">
                  <c:v>83879</c:v>
                </c:pt>
                <c:pt idx="23">
                  <c:v>57760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9-4773-B586-D16051E98C8B}"/>
            </c:ext>
          </c:extLst>
        </c:ser>
        <c:ser>
          <c:idx val="1"/>
          <c:order val="1"/>
          <c:tx>
            <c:strRef>
              <c:f>'[1]Peak Sales Processing '!$C$6</c:f>
              <c:strCache>
                <c:ptCount val="1"/>
                <c:pt idx="0">
                  <c:v>Projections Customer Orders :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'[1]Peak Sales Processing '!$D$6:$AA$6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9-4773-B586-D16051E98C8B}"/>
            </c:ext>
          </c:extLst>
        </c:ser>
        <c:ser>
          <c:idx val="2"/>
          <c:order val="2"/>
          <c:tx>
            <c:strRef>
              <c:f>'[1]Peak Sales Processing '!$C$7</c:f>
              <c:strCache>
                <c:ptCount val="1"/>
                <c:pt idx="0">
                  <c:v>44527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'[1]Peak Sales Processing '!$D$7:$AA$7</c:f>
              <c:numCache>
                <c:formatCode>General</c:formatCode>
                <c:ptCount val="24"/>
                <c:pt idx="0">
                  <c:v>58171.199999999997</c:v>
                </c:pt>
                <c:pt idx="1">
                  <c:v>36753.599999999999</c:v>
                </c:pt>
                <c:pt idx="2">
                  <c:v>25406.400000000001</c:v>
                </c:pt>
                <c:pt idx="3">
                  <c:v>21065.599999999999</c:v>
                </c:pt>
                <c:pt idx="4">
                  <c:v>19540.8</c:v>
                </c:pt>
                <c:pt idx="5">
                  <c:v>28595.199999999997</c:v>
                </c:pt>
                <c:pt idx="6">
                  <c:v>38081.599999999999</c:v>
                </c:pt>
                <c:pt idx="7">
                  <c:v>59308.800000000003</c:v>
                </c:pt>
                <c:pt idx="8">
                  <c:v>87344</c:v>
                </c:pt>
                <c:pt idx="9">
                  <c:v>101790.39999999999</c:v>
                </c:pt>
                <c:pt idx="10">
                  <c:v>103388.79999999999</c:v>
                </c:pt>
                <c:pt idx="11">
                  <c:v>110654.39999999999</c:v>
                </c:pt>
                <c:pt idx="12">
                  <c:v>113156.79999999999</c:v>
                </c:pt>
                <c:pt idx="13">
                  <c:v>111320</c:v>
                </c:pt>
                <c:pt idx="14">
                  <c:v>108504</c:v>
                </c:pt>
                <c:pt idx="15">
                  <c:v>106963.2</c:v>
                </c:pt>
                <c:pt idx="16">
                  <c:v>116120</c:v>
                </c:pt>
                <c:pt idx="17">
                  <c:v>123460.79999999999</c:v>
                </c:pt>
                <c:pt idx="18">
                  <c:v>125867.2</c:v>
                </c:pt>
                <c:pt idx="19">
                  <c:v>133353.60000000001</c:v>
                </c:pt>
                <c:pt idx="20">
                  <c:v>143384</c:v>
                </c:pt>
                <c:pt idx="21">
                  <c:v>160000</c:v>
                </c:pt>
                <c:pt idx="22">
                  <c:v>134206.39999999999</c:v>
                </c:pt>
                <c:pt idx="23">
                  <c:v>92416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E9-4773-B586-D16051E98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027567"/>
        <c:axId val="929313039"/>
      </c:lineChart>
      <c:catAx>
        <c:axId val="92702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313039"/>
        <c:crosses val="autoZero"/>
        <c:auto val="1"/>
        <c:lblAlgn val="ctr"/>
        <c:lblOffset val="100"/>
        <c:noMultiLvlLbl val="0"/>
      </c:catAx>
      <c:valAx>
        <c:axId val="92931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2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319769</xdr:colOff>
      <xdr:row>40</xdr:row>
      <xdr:rowOff>84365</xdr:rowOff>
    </xdr:from>
    <xdr:to>
      <xdr:col>22</xdr:col>
      <xdr:colOff>81643</xdr:colOff>
      <xdr:row>53</xdr:row>
      <xdr:rowOff>174174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D6CAC-BACA-4761-A48A-274CE24DC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risonReSaPeakSalesReport-PostRefresh%20-%20Tran_d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 execution_Nov23"/>
      <sheetName val="Overnight execution_Nov25"/>
      <sheetName val="Overnight execution_Dec09"/>
      <sheetName val="Overnight execution_Dec21"/>
      <sheetName val="Overnight execution_Dec23"/>
      <sheetName val="Overnight Execution_Jan05"/>
      <sheetName val="Comparison"/>
      <sheetName val="Comparison1"/>
      <sheetName val="Peak Sales Processing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C5">
            <v>44162</v>
          </cell>
          <cell r="D5">
            <v>36357</v>
          </cell>
          <cell r="E5">
            <v>22971</v>
          </cell>
          <cell r="F5">
            <v>15879</v>
          </cell>
          <cell r="G5">
            <v>13166</v>
          </cell>
          <cell r="H5">
            <v>12213</v>
          </cell>
          <cell r="I5">
            <v>17872</v>
          </cell>
          <cell r="J5">
            <v>23801</v>
          </cell>
          <cell r="K5">
            <v>37068</v>
          </cell>
          <cell r="L5">
            <v>54590</v>
          </cell>
          <cell r="M5">
            <v>63619</v>
          </cell>
          <cell r="N5">
            <v>64618</v>
          </cell>
          <cell r="O5">
            <v>69159</v>
          </cell>
          <cell r="P5">
            <v>70723</v>
          </cell>
          <cell r="Q5">
            <v>69575</v>
          </cell>
          <cell r="R5">
            <v>67815</v>
          </cell>
          <cell r="S5">
            <v>66852</v>
          </cell>
          <cell r="T5">
            <v>72575</v>
          </cell>
          <cell r="U5">
            <v>77163</v>
          </cell>
          <cell r="V5">
            <v>78667</v>
          </cell>
          <cell r="W5">
            <v>83346</v>
          </cell>
          <cell r="X5">
            <v>89615</v>
          </cell>
          <cell r="Y5">
            <v>89910</v>
          </cell>
          <cell r="Z5">
            <v>83879</v>
          </cell>
          <cell r="AA5">
            <v>57760</v>
          </cell>
        </row>
        <row r="6">
          <cell r="C6" t="str">
            <v xml:space="preserve">Projections Customer Orders : </v>
          </cell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</row>
        <row r="7">
          <cell r="C7">
            <v>44527</v>
          </cell>
          <cell r="D7">
            <v>58171.199999999997</v>
          </cell>
          <cell r="E7">
            <v>36753.599999999999</v>
          </cell>
          <cell r="F7">
            <v>25406.400000000001</v>
          </cell>
          <cell r="G7">
            <v>21065.599999999999</v>
          </cell>
          <cell r="H7">
            <v>19540.8</v>
          </cell>
          <cell r="I7">
            <v>28595.199999999997</v>
          </cell>
          <cell r="J7">
            <v>38081.599999999999</v>
          </cell>
          <cell r="K7">
            <v>59308.800000000003</v>
          </cell>
          <cell r="L7">
            <v>87344</v>
          </cell>
          <cell r="M7">
            <v>101790.39999999999</v>
          </cell>
          <cell r="N7">
            <v>103388.79999999999</v>
          </cell>
          <cell r="O7">
            <v>110654.39999999999</v>
          </cell>
          <cell r="P7">
            <v>113156.79999999999</v>
          </cell>
          <cell r="Q7">
            <v>111320</v>
          </cell>
          <cell r="R7">
            <v>108504</v>
          </cell>
          <cell r="S7">
            <v>106963.2</v>
          </cell>
          <cell r="T7">
            <v>116120</v>
          </cell>
          <cell r="U7">
            <v>123460.79999999999</v>
          </cell>
          <cell r="V7">
            <v>125867.2</v>
          </cell>
          <cell r="W7">
            <v>133353.60000000001</v>
          </cell>
          <cell r="X7">
            <v>143384</v>
          </cell>
          <cell r="Y7">
            <v>160000</v>
          </cell>
          <cell r="Z7">
            <v>134206.39999999999</v>
          </cell>
          <cell r="AA7">
            <v>92416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F4D0-449C-44A2-8970-492D27DA0B27}">
  <dimension ref="A2:M354"/>
  <sheetViews>
    <sheetView workbookViewId="0">
      <selection activeCell="H16" sqref="H16"/>
    </sheetView>
  </sheetViews>
  <sheetFormatPr defaultRowHeight="15" x14ac:dyDescent="0.25"/>
  <cols>
    <col min="2" max="2" width="44.5703125" customWidth="1"/>
    <col min="3" max="3" width="10.85546875" customWidth="1"/>
    <col min="4" max="4" width="17.7109375" customWidth="1"/>
    <col min="5" max="5" width="16.7109375" customWidth="1"/>
    <col min="6" max="6" width="31.140625" customWidth="1"/>
    <col min="8" max="9" width="18.42578125" customWidth="1"/>
    <col min="10" max="10" width="17.85546875" customWidth="1"/>
    <col min="11" max="11" width="15.140625" bestFit="1" customWidth="1"/>
    <col min="12" max="12" width="16.140625" customWidth="1"/>
    <col min="13" max="13" width="20.85546875" customWidth="1"/>
  </cols>
  <sheetData>
    <row r="2" spans="2:13" x14ac:dyDescent="0.25">
      <c r="B2" s="51" t="s">
        <v>68</v>
      </c>
      <c r="C2" s="79">
        <v>0.32361111111111113</v>
      </c>
      <c r="D2" s="80">
        <v>44636.333333333336</v>
      </c>
      <c r="E2" s="80">
        <v>44636.656944444447</v>
      </c>
      <c r="F2" s="64"/>
      <c r="G2" s="52">
        <f>C2</f>
        <v>0.32361111111111113</v>
      </c>
      <c r="H2" s="54">
        <f>D2+"02:00:00"</f>
        <v>44636.416666666672</v>
      </c>
      <c r="I2" s="54">
        <f>E2+"02:00:00"</f>
        <v>44636.740277777782</v>
      </c>
      <c r="K2" s="52">
        <f>M2-L2</f>
        <v>0.3555555555576575</v>
      </c>
      <c r="L2" s="54">
        <f>H2</f>
        <v>44636.416666666672</v>
      </c>
      <c r="M2" s="54">
        <f>I2+"00:46:00"</f>
        <v>44636.772222222229</v>
      </c>
    </row>
    <row r="3" spans="2:13" x14ac:dyDescent="0.25">
      <c r="B3" s="55" t="s">
        <v>69</v>
      </c>
      <c r="C3" s="52">
        <v>6.0127314814814814E-2</v>
      </c>
      <c r="D3" s="53">
        <v>44636.333333333336</v>
      </c>
      <c r="E3" s="53">
        <v>44636.393750000003</v>
      </c>
      <c r="G3" s="52">
        <f>C3</f>
        <v>6.0127314814814814E-2</v>
      </c>
      <c r="H3" s="54">
        <f t="shared" ref="H3:I29" si="0">D3+"02:00:00"</f>
        <v>44636.416666666672</v>
      </c>
      <c r="I3" s="54">
        <f t="shared" si="0"/>
        <v>44636.477083333339</v>
      </c>
      <c r="K3" s="52">
        <v>6.0127314814814814E-2</v>
      </c>
      <c r="L3" s="54">
        <v>44636.416666666672</v>
      </c>
      <c r="M3" s="54">
        <v>44636.477083333339</v>
      </c>
    </row>
    <row r="4" spans="2:13" x14ac:dyDescent="0.25">
      <c r="B4" s="58" t="s">
        <v>70</v>
      </c>
      <c r="C4" s="60">
        <v>5.6365740740740742E-3</v>
      </c>
      <c r="D4" s="54">
        <v>44636.4</v>
      </c>
      <c r="E4" s="54">
        <v>44636.405555555553</v>
      </c>
      <c r="F4" s="59"/>
      <c r="G4" s="52">
        <f>C4</f>
        <v>5.6365740740740742E-3</v>
      </c>
      <c r="H4" s="54">
        <f t="shared" si="0"/>
        <v>44636.483333333337</v>
      </c>
      <c r="I4" s="54">
        <f t="shared" si="0"/>
        <v>44636.488888888889</v>
      </c>
      <c r="K4" s="52">
        <v>5.6365740740740742E-3</v>
      </c>
      <c r="L4" s="54">
        <v>44636.483333333337</v>
      </c>
      <c r="M4" s="54">
        <v>44636.488888888889</v>
      </c>
    </row>
    <row r="5" spans="2:13" x14ac:dyDescent="0.25">
      <c r="B5" s="58" t="s">
        <v>71</v>
      </c>
      <c r="C5" s="52">
        <v>1.9120370370370371E-2</v>
      </c>
      <c r="D5" s="53">
        <v>44636.4</v>
      </c>
      <c r="E5" s="53">
        <v>44636.418749999997</v>
      </c>
      <c r="F5" s="59"/>
      <c r="G5" s="52">
        <f>C5</f>
        <v>1.9120370370370371E-2</v>
      </c>
      <c r="H5" s="54">
        <f t="shared" si="0"/>
        <v>44636.483333333337</v>
      </c>
      <c r="I5" s="54">
        <f t="shared" si="0"/>
        <v>44636.502083333333</v>
      </c>
      <c r="K5" s="52">
        <v>1.9120370370370371E-2</v>
      </c>
      <c r="L5" s="54">
        <v>44636.483333333337</v>
      </c>
      <c r="M5" s="54">
        <v>44636.502083333333</v>
      </c>
    </row>
    <row r="6" spans="2:13" hidden="1" x14ac:dyDescent="0.25">
      <c r="B6" s="55" t="s">
        <v>72</v>
      </c>
      <c r="C6" s="60">
        <v>2.7268518518518515E-2</v>
      </c>
      <c r="D6" s="54">
        <v>44506.407638888886</v>
      </c>
      <c r="E6" s="54">
        <v>44506.435416666667</v>
      </c>
      <c r="G6" s="52">
        <f t="shared" ref="G6:G29" si="1">C6</f>
        <v>2.7268518518518515E-2</v>
      </c>
      <c r="H6" s="54">
        <f t="shared" si="0"/>
        <v>44506.490972222222</v>
      </c>
      <c r="I6" s="54">
        <f t="shared" si="0"/>
        <v>44506.518750000003</v>
      </c>
      <c r="K6" s="52">
        <v>2.7268518518518515E-2</v>
      </c>
      <c r="L6" s="54">
        <v>44506.490972222222</v>
      </c>
      <c r="M6" s="54">
        <v>44506.518750000003</v>
      </c>
    </row>
    <row r="7" spans="2:13" ht="15.75" x14ac:dyDescent="0.25">
      <c r="B7" s="61" t="s">
        <v>73</v>
      </c>
      <c r="C7" s="56">
        <v>3.8078703703703707E-3</v>
      </c>
      <c r="D7" s="57">
        <v>44636.418749999997</v>
      </c>
      <c r="E7" s="57">
        <v>44636.42291666667</v>
      </c>
      <c r="G7" s="52">
        <f t="shared" si="1"/>
        <v>3.8078703703703707E-3</v>
      </c>
      <c r="H7" s="54">
        <f t="shared" si="0"/>
        <v>44636.502083333333</v>
      </c>
      <c r="I7" s="54">
        <f t="shared" si="0"/>
        <v>44636.506250000006</v>
      </c>
      <c r="K7" s="52">
        <v>3.8078703703703707E-3</v>
      </c>
      <c r="L7" s="54">
        <v>44636.502083333333</v>
      </c>
      <c r="M7" s="54">
        <v>44636.506250000006</v>
      </c>
    </row>
    <row r="8" spans="2:13" ht="15.75" x14ac:dyDescent="0.25">
      <c r="B8" s="62" t="s">
        <v>74</v>
      </c>
      <c r="G8" s="52"/>
      <c r="H8" s="54"/>
      <c r="I8" s="54"/>
      <c r="K8" s="60">
        <f>M8-L8</f>
        <v>3.1944444446708076E-2</v>
      </c>
      <c r="L8" s="54">
        <v>44636.488888888889</v>
      </c>
      <c r="M8" s="54">
        <v>44636.520833333336</v>
      </c>
    </row>
    <row r="9" spans="2:13" x14ac:dyDescent="0.25">
      <c r="B9" s="58" t="s">
        <v>75</v>
      </c>
      <c r="C9" s="60">
        <v>6.4884259259259267E-2</v>
      </c>
      <c r="D9" s="54">
        <v>44636.405555555553</v>
      </c>
      <c r="E9" s="54">
        <v>44636.470138888886</v>
      </c>
      <c r="G9" s="52">
        <f t="shared" si="1"/>
        <v>6.4884259259259267E-2</v>
      </c>
      <c r="H9" s="54">
        <f t="shared" si="0"/>
        <v>44636.488888888889</v>
      </c>
      <c r="I9" s="54">
        <f t="shared" si="0"/>
        <v>44636.553472222222</v>
      </c>
      <c r="K9" s="60">
        <v>6.4884259259259267E-2</v>
      </c>
      <c r="L9" s="54">
        <f>H9+"00:46:00"</f>
        <v>44636.520833333336</v>
      </c>
      <c r="M9" s="54">
        <f>I9+"00:46:00"</f>
        <v>44636.585416666669</v>
      </c>
    </row>
    <row r="10" spans="2:13" ht="15.75" x14ac:dyDescent="0.25">
      <c r="B10" s="61" t="s">
        <v>76</v>
      </c>
      <c r="C10" s="79">
        <v>7.6388888888888893E-4</v>
      </c>
      <c r="D10" s="80">
        <v>44636.469444444447</v>
      </c>
      <c r="E10" s="80">
        <v>44636.470138888886</v>
      </c>
      <c r="F10" s="59"/>
      <c r="G10" s="52">
        <f t="shared" si="1"/>
        <v>7.6388888888888893E-4</v>
      </c>
      <c r="H10" s="54">
        <f t="shared" si="0"/>
        <v>44636.552777777782</v>
      </c>
      <c r="I10" s="54">
        <f t="shared" si="0"/>
        <v>44636.553472222222</v>
      </c>
      <c r="K10" s="60">
        <v>7.6388888888888893E-4</v>
      </c>
      <c r="L10" s="54">
        <f t="shared" ref="L10:L29" si="2">H10+"00:46:00"</f>
        <v>44636.584722222229</v>
      </c>
      <c r="M10" s="54">
        <f t="shared" ref="M10:M29" si="3">I10+"00:46:00"</f>
        <v>44636.585416666669</v>
      </c>
    </row>
    <row r="11" spans="2:13" x14ac:dyDescent="0.25">
      <c r="B11" s="55" t="s">
        <v>77</v>
      </c>
      <c r="C11" s="60">
        <v>0.1436574074074074</v>
      </c>
      <c r="D11" s="54">
        <v>44636.429166666669</v>
      </c>
      <c r="E11" s="54">
        <v>44636.572916666664</v>
      </c>
      <c r="F11" s="63"/>
      <c r="G11" s="52">
        <f t="shared" si="1"/>
        <v>0.1436574074074074</v>
      </c>
      <c r="H11" s="54">
        <f t="shared" si="0"/>
        <v>44636.512500000004</v>
      </c>
      <c r="I11" s="54">
        <f t="shared" si="0"/>
        <v>44636.65625</v>
      </c>
      <c r="K11" s="60">
        <v>0.1436574074074074</v>
      </c>
      <c r="L11" s="54">
        <f t="shared" si="2"/>
        <v>44636.544444444451</v>
      </c>
      <c r="M11" s="54">
        <f t="shared" si="3"/>
        <v>44636.688194444447</v>
      </c>
    </row>
    <row r="12" spans="2:13" x14ac:dyDescent="0.25">
      <c r="B12" s="58" t="s">
        <v>78</v>
      </c>
      <c r="C12" s="56">
        <v>9.1921296296296293E-2</v>
      </c>
      <c r="D12" s="57">
        <v>44636.42291666667</v>
      </c>
      <c r="E12" s="57">
        <v>44636.51458333333</v>
      </c>
      <c r="G12" s="52">
        <f t="shared" si="1"/>
        <v>9.1921296296296293E-2</v>
      </c>
      <c r="H12" s="54">
        <f t="shared" si="0"/>
        <v>44636.506250000006</v>
      </c>
      <c r="I12" s="54">
        <f t="shared" si="0"/>
        <v>44636.597916666666</v>
      </c>
      <c r="K12" s="60">
        <v>9.1921296296296293E-2</v>
      </c>
      <c r="L12" s="54">
        <f t="shared" si="2"/>
        <v>44636.538194444453</v>
      </c>
      <c r="M12" s="54">
        <f t="shared" si="3"/>
        <v>44636.629861111112</v>
      </c>
    </row>
    <row r="13" spans="2:13" x14ac:dyDescent="0.25">
      <c r="B13" s="55" t="s">
        <v>79</v>
      </c>
      <c r="C13" s="79">
        <v>6.2037037037037043E-3</v>
      </c>
      <c r="D13" s="80">
        <v>44636.470833333333</v>
      </c>
      <c r="E13" s="80">
        <v>44636.477083333331</v>
      </c>
      <c r="G13" s="52">
        <f>C13</f>
        <v>6.2037037037037043E-3</v>
      </c>
      <c r="H13" s="54">
        <f t="shared" si="0"/>
        <v>44636.554166666669</v>
      </c>
      <c r="I13" s="54">
        <f t="shared" si="0"/>
        <v>44636.560416666667</v>
      </c>
      <c r="K13" s="60">
        <v>6.2037037037037043E-3</v>
      </c>
      <c r="L13" s="54">
        <f t="shared" si="2"/>
        <v>44636.586111111115</v>
      </c>
      <c r="M13" s="54">
        <f t="shared" si="3"/>
        <v>44636.592361111114</v>
      </c>
    </row>
    <row r="14" spans="2:13" x14ac:dyDescent="0.25">
      <c r="B14" s="58" t="s">
        <v>80</v>
      </c>
      <c r="C14" s="52">
        <v>2.3414351851851853E-2</v>
      </c>
      <c r="D14" s="53">
        <v>44636.477083333331</v>
      </c>
      <c r="E14" s="53">
        <v>44636.500694444447</v>
      </c>
      <c r="G14" s="52">
        <f t="shared" si="1"/>
        <v>2.3414351851851853E-2</v>
      </c>
      <c r="H14" s="54">
        <f t="shared" si="0"/>
        <v>44636.560416666667</v>
      </c>
      <c r="I14" s="54">
        <f t="shared" si="0"/>
        <v>44636.584027777782</v>
      </c>
      <c r="K14" s="60">
        <v>2.3414351851851853E-2</v>
      </c>
      <c r="L14" s="54">
        <f t="shared" si="2"/>
        <v>44636.592361111114</v>
      </c>
      <c r="M14" s="54">
        <f t="shared" si="3"/>
        <v>44636.615972222229</v>
      </c>
    </row>
    <row r="15" spans="2:13" ht="15.75" x14ac:dyDescent="0.25">
      <c r="B15" s="61" t="s">
        <v>81</v>
      </c>
      <c r="C15" s="52">
        <v>4.7453703703703704E-4</v>
      </c>
      <c r="D15" s="53">
        <v>44636.333333333336</v>
      </c>
      <c r="E15" s="53">
        <v>44636.479861111111</v>
      </c>
      <c r="G15" s="52">
        <f t="shared" si="1"/>
        <v>4.7453703703703704E-4</v>
      </c>
      <c r="H15" s="54">
        <f t="shared" si="0"/>
        <v>44636.416666666672</v>
      </c>
      <c r="I15" s="54">
        <f t="shared" si="0"/>
        <v>44636.563194444447</v>
      </c>
      <c r="K15" s="60">
        <v>4.7453703703703704E-4</v>
      </c>
      <c r="L15" s="54">
        <f t="shared" si="2"/>
        <v>44636.448611111118</v>
      </c>
      <c r="M15" s="54">
        <f t="shared" si="3"/>
        <v>44636.595138888893</v>
      </c>
    </row>
    <row r="16" spans="2:13" ht="15.75" x14ac:dyDescent="0.25">
      <c r="B16" s="61" t="s">
        <v>82</v>
      </c>
      <c r="C16" s="52">
        <v>1.6666666666666666E-2</v>
      </c>
      <c r="D16" s="53">
        <v>44636.333333333336</v>
      </c>
      <c r="E16" s="53">
        <v>44636.479166666664</v>
      </c>
      <c r="G16" s="52">
        <f t="shared" si="1"/>
        <v>1.6666666666666666E-2</v>
      </c>
      <c r="H16" s="54">
        <f t="shared" si="0"/>
        <v>44636.416666666672</v>
      </c>
      <c r="I16" s="54">
        <f t="shared" si="0"/>
        <v>44636.5625</v>
      </c>
      <c r="K16" s="60">
        <v>1.6666666666666666E-2</v>
      </c>
      <c r="L16" s="54">
        <f t="shared" si="2"/>
        <v>44636.448611111118</v>
      </c>
      <c r="M16" s="54">
        <f t="shared" si="3"/>
        <v>44636.594444444447</v>
      </c>
    </row>
    <row r="17" spans="1:13" ht="15.75" x14ac:dyDescent="0.25">
      <c r="B17" s="61" t="s">
        <v>83</v>
      </c>
      <c r="C17" s="52">
        <v>5.0925925925925921E-4</v>
      </c>
      <c r="D17" s="53">
        <v>44636.333333333336</v>
      </c>
      <c r="E17" s="53">
        <v>44636.5</v>
      </c>
      <c r="G17" s="52">
        <f t="shared" si="1"/>
        <v>5.0925925925925921E-4</v>
      </c>
      <c r="H17" s="54">
        <f t="shared" si="0"/>
        <v>44636.416666666672</v>
      </c>
      <c r="I17" s="54">
        <f t="shared" si="0"/>
        <v>44636.583333333336</v>
      </c>
      <c r="K17" s="60">
        <v>5.0925925925925921E-4</v>
      </c>
      <c r="L17" s="54">
        <f t="shared" si="2"/>
        <v>44636.448611111118</v>
      </c>
      <c r="M17" s="54">
        <f t="shared" si="3"/>
        <v>44636.615277777782</v>
      </c>
    </row>
    <row r="18" spans="1:13" x14ac:dyDescent="0.25">
      <c r="B18" s="58" t="s">
        <v>84</v>
      </c>
      <c r="C18" s="79">
        <v>4.6921296296296294E-2</v>
      </c>
      <c r="D18" s="80">
        <v>44636.500694444447</v>
      </c>
      <c r="E18" s="80">
        <v>44636.547222222223</v>
      </c>
      <c r="G18" s="52">
        <f t="shared" si="1"/>
        <v>4.6921296296296294E-2</v>
      </c>
      <c r="H18" s="54">
        <f t="shared" si="0"/>
        <v>44636.584027777782</v>
      </c>
      <c r="I18" s="54">
        <f t="shared" si="0"/>
        <v>44636.630555555559</v>
      </c>
      <c r="K18" s="60">
        <v>4.6921296296296294E-2</v>
      </c>
      <c r="L18" s="54">
        <f t="shared" si="2"/>
        <v>44636.615972222229</v>
      </c>
      <c r="M18" s="54">
        <f t="shared" si="3"/>
        <v>44636.662500000006</v>
      </c>
    </row>
    <row r="19" spans="1:13" x14ac:dyDescent="0.25">
      <c r="B19" s="58" t="s">
        <v>85</v>
      </c>
      <c r="C19" s="56">
        <v>4.6747685185185184E-2</v>
      </c>
      <c r="D19" s="57">
        <v>44636.477083333331</v>
      </c>
      <c r="E19" s="57">
        <v>44636.523611111108</v>
      </c>
      <c r="F19" s="64"/>
      <c r="G19" s="52">
        <f t="shared" si="1"/>
        <v>4.6747685185185184E-2</v>
      </c>
      <c r="H19" s="54">
        <f t="shared" si="0"/>
        <v>44636.560416666667</v>
      </c>
      <c r="I19" s="54">
        <f t="shared" si="0"/>
        <v>44636.606944444444</v>
      </c>
      <c r="K19" s="60">
        <v>4.6747685185185184E-2</v>
      </c>
      <c r="L19" s="54">
        <f t="shared" si="2"/>
        <v>44636.592361111114</v>
      </c>
      <c r="M19" s="54">
        <f t="shared" si="3"/>
        <v>44636.638888888891</v>
      </c>
    </row>
    <row r="20" spans="1:13" ht="15.75" x14ac:dyDescent="0.25">
      <c r="B20" s="61" t="s">
        <v>86</v>
      </c>
      <c r="C20" s="52">
        <v>9.2592592592592585E-4</v>
      </c>
      <c r="D20" s="53">
        <v>44636.333333333336</v>
      </c>
      <c r="E20" s="53">
        <v>44636.513194444444</v>
      </c>
      <c r="G20" s="52">
        <f t="shared" si="1"/>
        <v>9.2592592592592585E-4</v>
      </c>
      <c r="H20" s="54">
        <f t="shared" si="0"/>
        <v>44636.416666666672</v>
      </c>
      <c r="I20" s="54">
        <f t="shared" si="0"/>
        <v>44636.59652777778</v>
      </c>
      <c r="K20" s="60">
        <v>9.2592592592592585E-4</v>
      </c>
      <c r="L20" s="54">
        <f t="shared" si="2"/>
        <v>44636.448611111118</v>
      </c>
      <c r="M20" s="54">
        <f t="shared" si="3"/>
        <v>44636.628472222226</v>
      </c>
    </row>
    <row r="21" spans="1:13" ht="15.75" x14ac:dyDescent="0.25">
      <c r="B21" s="65" t="s">
        <v>87</v>
      </c>
      <c r="C21" s="52">
        <v>2.4305555555555556E-3</v>
      </c>
      <c r="D21" s="53">
        <v>44636.333333333336</v>
      </c>
      <c r="E21" s="53">
        <v>44636.494444444441</v>
      </c>
      <c r="G21" s="52">
        <f t="shared" si="1"/>
        <v>2.4305555555555556E-3</v>
      </c>
      <c r="H21" s="54">
        <f t="shared" si="0"/>
        <v>44636.416666666672</v>
      </c>
      <c r="I21" s="54">
        <f t="shared" si="0"/>
        <v>44636.577777777777</v>
      </c>
      <c r="K21" s="60">
        <v>2.4305555555555556E-3</v>
      </c>
      <c r="L21" s="54">
        <f t="shared" si="2"/>
        <v>44636.448611111118</v>
      </c>
      <c r="M21" s="54">
        <f t="shared" si="3"/>
        <v>44636.609722222223</v>
      </c>
    </row>
    <row r="22" spans="1:13" x14ac:dyDescent="0.25">
      <c r="B22" s="58" t="s">
        <v>88</v>
      </c>
      <c r="C22" s="79">
        <v>6.4814814814814813E-3</v>
      </c>
      <c r="D22" s="80">
        <v>44636.547222222223</v>
      </c>
      <c r="E22" s="80">
        <v>44636.554166666669</v>
      </c>
      <c r="G22" s="52">
        <f t="shared" si="1"/>
        <v>6.4814814814814813E-3</v>
      </c>
      <c r="H22" s="54">
        <f t="shared" si="0"/>
        <v>44636.630555555559</v>
      </c>
      <c r="I22" s="54">
        <f t="shared" si="0"/>
        <v>44636.637500000004</v>
      </c>
      <c r="K22" s="60">
        <v>6.4814814814814813E-3</v>
      </c>
      <c r="L22" s="54">
        <f t="shared" si="2"/>
        <v>44636.662500000006</v>
      </c>
      <c r="M22" s="54">
        <f t="shared" si="3"/>
        <v>44636.669444444451</v>
      </c>
    </row>
    <row r="23" spans="1:13" x14ac:dyDescent="0.25">
      <c r="B23" s="55" t="s">
        <v>89</v>
      </c>
      <c r="C23" s="79">
        <v>2.2488425925925926E-2</v>
      </c>
      <c r="D23" s="80">
        <v>44636.477083333331</v>
      </c>
      <c r="E23" s="80">
        <v>44636.5</v>
      </c>
      <c r="F23" s="59"/>
      <c r="G23" s="52">
        <f t="shared" si="1"/>
        <v>2.2488425925925926E-2</v>
      </c>
      <c r="H23" s="54">
        <f t="shared" si="0"/>
        <v>44636.560416666667</v>
      </c>
      <c r="I23" s="54">
        <f t="shared" si="0"/>
        <v>44636.583333333336</v>
      </c>
      <c r="K23" s="60">
        <v>2.2488425925925926E-2</v>
      </c>
      <c r="L23" s="54">
        <f t="shared" si="2"/>
        <v>44636.592361111114</v>
      </c>
      <c r="M23" s="54">
        <f t="shared" si="3"/>
        <v>44636.615277777782</v>
      </c>
    </row>
    <row r="24" spans="1:13" ht="15.75" x14ac:dyDescent="0.25">
      <c r="B24" s="61" t="s">
        <v>90</v>
      </c>
      <c r="C24" s="56">
        <v>2.5115740740740741E-3</v>
      </c>
      <c r="D24" s="57">
        <v>44636.49722222222</v>
      </c>
      <c r="E24" s="57">
        <v>44636.499305555553</v>
      </c>
      <c r="G24" s="52">
        <f t="shared" si="1"/>
        <v>2.5115740740740741E-3</v>
      </c>
      <c r="H24" s="54">
        <f t="shared" si="0"/>
        <v>44636.580555555556</v>
      </c>
      <c r="I24" s="54">
        <f t="shared" si="0"/>
        <v>44636.582638888889</v>
      </c>
      <c r="K24" s="60">
        <v>2.5115740740740741E-3</v>
      </c>
      <c r="L24" s="54">
        <f t="shared" si="2"/>
        <v>44636.612500000003</v>
      </c>
      <c r="M24" s="54">
        <f t="shared" si="3"/>
        <v>44636.614583333336</v>
      </c>
    </row>
    <row r="25" spans="1:13" ht="15.75" x14ac:dyDescent="0.25">
      <c r="B25" s="61" t="s">
        <v>91</v>
      </c>
      <c r="C25" s="79">
        <v>1.5046296296296297E-4</v>
      </c>
      <c r="D25" s="80">
        <v>44636.499305555553</v>
      </c>
      <c r="E25" s="80">
        <v>44636.5</v>
      </c>
      <c r="G25" s="52">
        <f t="shared" si="1"/>
        <v>1.5046296296296297E-4</v>
      </c>
      <c r="H25" s="54">
        <f t="shared" si="0"/>
        <v>44636.582638888889</v>
      </c>
      <c r="I25" s="54">
        <f t="shared" si="0"/>
        <v>44636.583333333336</v>
      </c>
      <c r="K25" s="60">
        <v>1.5046296296296297E-4</v>
      </c>
      <c r="L25" s="54">
        <f t="shared" si="2"/>
        <v>44636.614583333336</v>
      </c>
      <c r="M25" s="54">
        <f t="shared" si="3"/>
        <v>44636.615277777782</v>
      </c>
    </row>
    <row r="26" spans="1:13" x14ac:dyDescent="0.25">
      <c r="A26" t="s">
        <v>92</v>
      </c>
      <c r="B26" s="55" t="s">
        <v>93</v>
      </c>
      <c r="C26" s="56">
        <v>2.0243055555555552E-2</v>
      </c>
      <c r="D26" s="57">
        <v>44636.450694444444</v>
      </c>
      <c r="E26" s="57">
        <v>44636.470833333333</v>
      </c>
      <c r="F26" s="66"/>
      <c r="G26" s="52">
        <f t="shared" si="1"/>
        <v>2.0243055555555552E-2</v>
      </c>
      <c r="H26" s="54">
        <f t="shared" si="0"/>
        <v>44636.53402777778</v>
      </c>
      <c r="I26" s="54">
        <f t="shared" si="0"/>
        <v>44636.554166666669</v>
      </c>
      <c r="K26" s="60">
        <v>2.0243055555555552E-2</v>
      </c>
      <c r="L26" s="54">
        <f t="shared" si="2"/>
        <v>44636.565972222226</v>
      </c>
      <c r="M26" s="54">
        <f t="shared" si="3"/>
        <v>44636.586111111115</v>
      </c>
    </row>
    <row r="27" spans="1:13" ht="15.75" x14ac:dyDescent="0.25">
      <c r="B27" s="62" t="s">
        <v>94</v>
      </c>
      <c r="C27" s="52">
        <v>6.5972222222222222E-3</v>
      </c>
      <c r="D27" s="53">
        <v>44636.572916666664</v>
      </c>
      <c r="E27" s="53">
        <v>44636.579861111109</v>
      </c>
      <c r="F27" s="63"/>
      <c r="G27" s="52">
        <f>C27</f>
        <v>6.5972222222222222E-3</v>
      </c>
      <c r="H27" s="54">
        <f t="shared" si="0"/>
        <v>44636.65625</v>
      </c>
      <c r="I27" s="54">
        <f t="shared" si="0"/>
        <v>44636.663194444445</v>
      </c>
      <c r="K27" s="60">
        <v>6.5972222222222222E-3</v>
      </c>
      <c r="L27" s="54">
        <f t="shared" si="2"/>
        <v>44636.688194444447</v>
      </c>
      <c r="M27" s="54">
        <f t="shared" si="3"/>
        <v>44636.695138888892</v>
      </c>
    </row>
    <row r="28" spans="1:13" ht="15.75" x14ac:dyDescent="0.25">
      <c r="A28" s="67"/>
      <c r="B28" s="62" t="s">
        <v>95</v>
      </c>
      <c r="C28" s="56">
        <v>7.7557870370370374E-2</v>
      </c>
      <c r="D28" s="57">
        <v>44636.579861111109</v>
      </c>
      <c r="E28" s="57">
        <v>44636.656944444447</v>
      </c>
      <c r="G28" s="52">
        <f t="shared" si="1"/>
        <v>7.7557870370370374E-2</v>
      </c>
      <c r="H28" s="54">
        <f t="shared" si="0"/>
        <v>44636.663194444445</v>
      </c>
      <c r="I28" s="54">
        <f t="shared" si="0"/>
        <v>44636.740277777782</v>
      </c>
      <c r="K28" s="52">
        <v>7.7557870370370374E-2</v>
      </c>
      <c r="L28" s="54">
        <f t="shared" si="2"/>
        <v>44636.695138888892</v>
      </c>
      <c r="M28" s="54">
        <f t="shared" si="3"/>
        <v>44636.772222222229</v>
      </c>
    </row>
    <row r="29" spans="1:13" ht="15.75" x14ac:dyDescent="0.25">
      <c r="A29" s="67"/>
      <c r="B29" s="62" t="s">
        <v>96</v>
      </c>
      <c r="C29" s="60">
        <v>5.3622685185185183E-2</v>
      </c>
      <c r="D29" s="54">
        <v>44636.579861111109</v>
      </c>
      <c r="E29" s="54">
        <v>44636.633333333331</v>
      </c>
      <c r="G29" s="52">
        <f t="shared" si="1"/>
        <v>5.3622685185185183E-2</v>
      </c>
      <c r="H29" s="54">
        <f t="shared" si="0"/>
        <v>44636.663194444445</v>
      </c>
      <c r="I29" s="54">
        <f t="shared" si="0"/>
        <v>44636.716666666667</v>
      </c>
      <c r="K29" s="52">
        <v>5.3622685185185183E-2</v>
      </c>
      <c r="L29" s="54">
        <f t="shared" si="2"/>
        <v>44636.695138888892</v>
      </c>
      <c r="M29" s="54">
        <f t="shared" si="3"/>
        <v>44636.748611111114</v>
      </c>
    </row>
    <row r="30" spans="1:13" x14ac:dyDescent="0.25">
      <c r="B30" s="58"/>
      <c r="C30" s="56"/>
      <c r="D30" s="63"/>
      <c r="E30" s="57"/>
    </row>
    <row r="35" spans="1:11" x14ac:dyDescent="0.25">
      <c r="A35" s="68" t="s">
        <v>97</v>
      </c>
      <c r="B35" s="81" t="s">
        <v>98</v>
      </c>
      <c r="C35" s="81" t="s">
        <v>99</v>
      </c>
      <c r="D35" s="68" t="s">
        <v>438</v>
      </c>
      <c r="E35" s="81" t="s">
        <v>100</v>
      </c>
      <c r="F35" s="81" t="s">
        <v>101</v>
      </c>
      <c r="G35" s="82" t="s">
        <v>102</v>
      </c>
      <c r="H35" s="81" t="s">
        <v>103</v>
      </c>
      <c r="I35" s="81" t="s">
        <v>104</v>
      </c>
      <c r="J35" s="81" t="s">
        <v>105</v>
      </c>
      <c r="K35" s="83" t="s">
        <v>106</v>
      </c>
    </row>
    <row r="36" spans="1:11" x14ac:dyDescent="0.25">
      <c r="A36" s="69">
        <v>1</v>
      </c>
      <c r="B36" s="84" t="s">
        <v>68</v>
      </c>
      <c r="C36" s="85" t="s">
        <v>107</v>
      </c>
      <c r="D36" s="86"/>
      <c r="E36" s="85">
        <v>52565645</v>
      </c>
      <c r="F36" s="86"/>
      <c r="G36" s="85" t="s">
        <v>108</v>
      </c>
      <c r="H36" s="87">
        <v>0.32361111111111113</v>
      </c>
      <c r="I36" s="88">
        <v>44636.333333333336</v>
      </c>
      <c r="J36" s="88">
        <v>44636.656944444447</v>
      </c>
      <c r="K36" s="88">
        <v>44636.333333333336</v>
      </c>
    </row>
    <row r="37" spans="1:11" x14ac:dyDescent="0.25">
      <c r="A37" s="70">
        <v>2</v>
      </c>
      <c r="B37" s="89" t="s">
        <v>112</v>
      </c>
      <c r="C37" s="90" t="s">
        <v>107</v>
      </c>
      <c r="D37" s="91"/>
      <c r="E37" s="90">
        <v>52565647</v>
      </c>
      <c r="F37" s="90">
        <v>52565645</v>
      </c>
      <c r="G37" s="90" t="s">
        <v>111</v>
      </c>
      <c r="H37" s="92">
        <v>0</v>
      </c>
      <c r="I37" s="91"/>
      <c r="J37" s="93">
        <v>44636.333333333336</v>
      </c>
      <c r="K37" s="93">
        <v>44636.333333333336</v>
      </c>
    </row>
    <row r="38" spans="1:11" x14ac:dyDescent="0.25">
      <c r="A38" s="69">
        <v>3</v>
      </c>
      <c r="B38" s="89" t="s">
        <v>109</v>
      </c>
      <c r="C38" s="90" t="s">
        <v>110</v>
      </c>
      <c r="D38" s="91"/>
      <c r="E38" s="90">
        <v>52565646</v>
      </c>
      <c r="F38" s="90">
        <v>52565645</v>
      </c>
      <c r="G38" s="90" t="s">
        <v>111</v>
      </c>
      <c r="H38" s="92">
        <v>0</v>
      </c>
      <c r="I38" s="91"/>
      <c r="J38" s="93">
        <v>44636.333333333336</v>
      </c>
      <c r="K38" s="93">
        <v>44636.333333333336</v>
      </c>
    </row>
    <row r="39" spans="1:11" x14ac:dyDescent="0.25">
      <c r="A39" s="70">
        <v>4</v>
      </c>
      <c r="B39" s="89" t="s">
        <v>93</v>
      </c>
      <c r="C39" s="90" t="s">
        <v>107</v>
      </c>
      <c r="D39" s="91"/>
      <c r="E39" s="90">
        <v>52565648</v>
      </c>
      <c r="F39" s="90">
        <v>52565645</v>
      </c>
      <c r="G39" s="90" t="s">
        <v>108</v>
      </c>
      <c r="H39" s="92">
        <v>2.0243055555555552E-2</v>
      </c>
      <c r="I39" s="93">
        <v>44636.450694444444</v>
      </c>
      <c r="J39" s="93">
        <v>44636.470833333333</v>
      </c>
      <c r="K39" s="93">
        <v>44636.333333333336</v>
      </c>
    </row>
    <row r="40" spans="1:11" x14ac:dyDescent="0.25">
      <c r="A40" s="69">
        <v>5</v>
      </c>
      <c r="B40" s="94" t="s">
        <v>113</v>
      </c>
      <c r="C40" s="90" t="s">
        <v>110</v>
      </c>
      <c r="D40" s="91"/>
      <c r="E40" s="90">
        <v>52565659</v>
      </c>
      <c r="F40" s="90">
        <v>52565648</v>
      </c>
      <c r="G40" s="90" t="s">
        <v>111</v>
      </c>
      <c r="H40" s="92">
        <v>0</v>
      </c>
      <c r="I40" s="91"/>
      <c r="J40" s="93">
        <v>44636.333333333336</v>
      </c>
      <c r="K40" s="93">
        <v>44636.333333333336</v>
      </c>
    </row>
    <row r="41" spans="1:11" x14ac:dyDescent="0.25">
      <c r="A41" s="70">
        <v>6</v>
      </c>
      <c r="B41" s="94" t="s">
        <v>114</v>
      </c>
      <c r="C41" s="90" t="s">
        <v>110</v>
      </c>
      <c r="D41" s="91"/>
      <c r="E41" s="90">
        <v>52565660</v>
      </c>
      <c r="F41" s="90">
        <v>52565648</v>
      </c>
      <c r="G41" s="90" t="s">
        <v>111</v>
      </c>
      <c r="H41" s="92">
        <v>0</v>
      </c>
      <c r="I41" s="91"/>
      <c r="J41" s="93">
        <v>44636.333333333336</v>
      </c>
      <c r="K41" s="93">
        <v>44636.333333333336</v>
      </c>
    </row>
    <row r="42" spans="1:11" x14ac:dyDescent="0.25">
      <c r="A42" s="69">
        <v>7</v>
      </c>
      <c r="B42" s="94" t="s">
        <v>116</v>
      </c>
      <c r="C42" s="90" t="s">
        <v>110</v>
      </c>
      <c r="D42" s="90" t="s">
        <v>436</v>
      </c>
      <c r="E42" s="90">
        <v>52565656</v>
      </c>
      <c r="F42" s="90">
        <v>52565648</v>
      </c>
      <c r="G42" s="90" t="s">
        <v>108</v>
      </c>
      <c r="H42" s="92">
        <v>3.4722222222222224E-4</v>
      </c>
      <c r="I42" s="93">
        <v>44636.470833333333</v>
      </c>
      <c r="J42" s="93">
        <v>44636.470833333333</v>
      </c>
      <c r="K42" s="93">
        <v>44636.333333333336</v>
      </c>
    </row>
    <row r="43" spans="1:11" x14ac:dyDescent="0.25">
      <c r="A43" s="70">
        <v>8</v>
      </c>
      <c r="B43" s="94" t="s">
        <v>117</v>
      </c>
      <c r="C43" s="90" t="s">
        <v>110</v>
      </c>
      <c r="D43" s="90" t="s">
        <v>437</v>
      </c>
      <c r="E43" s="90">
        <v>52565658</v>
      </c>
      <c r="F43" s="90">
        <v>52565648</v>
      </c>
      <c r="G43" s="90" t="s">
        <v>108</v>
      </c>
      <c r="H43" s="92">
        <v>1.0416666666666667E-4</v>
      </c>
      <c r="I43" s="93">
        <v>44636.470833333333</v>
      </c>
      <c r="J43" s="93">
        <v>44636.470833333333</v>
      </c>
      <c r="K43" s="93">
        <v>44636.333333333336</v>
      </c>
    </row>
    <row r="44" spans="1:11" x14ac:dyDescent="0.25">
      <c r="A44" s="69">
        <v>9</v>
      </c>
      <c r="B44" s="94" t="s">
        <v>115</v>
      </c>
      <c r="C44" s="90" t="s">
        <v>110</v>
      </c>
      <c r="D44" s="90" t="s">
        <v>437</v>
      </c>
      <c r="E44" s="90">
        <v>52565657</v>
      </c>
      <c r="F44" s="90">
        <v>52565648</v>
      </c>
      <c r="G44" s="90" t="s">
        <v>108</v>
      </c>
      <c r="H44" s="92">
        <v>2.0833333333333335E-4</v>
      </c>
      <c r="I44" s="93">
        <v>44636.470833333333</v>
      </c>
      <c r="J44" s="93">
        <v>44636.470833333333</v>
      </c>
      <c r="K44" s="93">
        <v>44636.333333333336</v>
      </c>
    </row>
    <row r="45" spans="1:11" x14ac:dyDescent="0.25">
      <c r="A45" s="70">
        <v>10</v>
      </c>
      <c r="B45" s="94" t="s">
        <v>118</v>
      </c>
      <c r="C45" s="90" t="s">
        <v>110</v>
      </c>
      <c r="D45" s="90" t="s">
        <v>437</v>
      </c>
      <c r="E45" s="90">
        <v>52565655</v>
      </c>
      <c r="F45" s="90">
        <v>52565648</v>
      </c>
      <c r="G45" s="90" t="s">
        <v>108</v>
      </c>
      <c r="H45" s="92">
        <v>5.9143518518518521E-3</v>
      </c>
      <c r="I45" s="93">
        <v>44636.464583333334</v>
      </c>
      <c r="J45" s="93">
        <v>44636.470833333333</v>
      </c>
      <c r="K45" s="93">
        <v>44636.333333333336</v>
      </c>
    </row>
    <row r="46" spans="1:11" x14ac:dyDescent="0.25">
      <c r="A46" s="69">
        <v>11</v>
      </c>
      <c r="B46" s="94" t="s">
        <v>119</v>
      </c>
      <c r="C46" s="90" t="s">
        <v>110</v>
      </c>
      <c r="D46" s="90" t="s">
        <v>436</v>
      </c>
      <c r="E46" s="90">
        <v>52565653</v>
      </c>
      <c r="F46" s="90">
        <v>52565648</v>
      </c>
      <c r="G46" s="90" t="s">
        <v>108</v>
      </c>
      <c r="H46" s="92">
        <v>1.2847222222222223E-2</v>
      </c>
      <c r="I46" s="93">
        <v>44636.45208333333</v>
      </c>
      <c r="J46" s="93">
        <v>44636.464583333334</v>
      </c>
      <c r="K46" s="93">
        <v>44636.333333333336</v>
      </c>
    </row>
    <row r="47" spans="1:11" x14ac:dyDescent="0.25">
      <c r="A47" s="70">
        <v>12</v>
      </c>
      <c r="B47" s="94" t="s">
        <v>121</v>
      </c>
      <c r="C47" s="90" t="s">
        <v>110</v>
      </c>
      <c r="D47" s="90" t="s">
        <v>436</v>
      </c>
      <c r="E47" s="90">
        <v>52565652</v>
      </c>
      <c r="F47" s="90">
        <v>52565648</v>
      </c>
      <c r="G47" s="90" t="s">
        <v>108</v>
      </c>
      <c r="H47" s="92">
        <v>3.4722222222222224E-4</v>
      </c>
      <c r="I47" s="93">
        <v>44636.451388888891</v>
      </c>
      <c r="J47" s="93">
        <v>44636.45208333333</v>
      </c>
      <c r="K47" s="93">
        <v>44636.333333333336</v>
      </c>
    </row>
    <row r="48" spans="1:11" x14ac:dyDescent="0.25">
      <c r="A48" s="69">
        <v>13</v>
      </c>
      <c r="B48" s="94" t="s">
        <v>120</v>
      </c>
      <c r="C48" s="90" t="s">
        <v>110</v>
      </c>
      <c r="D48" s="90" t="s">
        <v>437</v>
      </c>
      <c r="E48" s="90">
        <v>52565654</v>
      </c>
      <c r="F48" s="90">
        <v>52565648</v>
      </c>
      <c r="G48" s="90" t="s">
        <v>108</v>
      </c>
      <c r="H48" s="92">
        <v>0</v>
      </c>
      <c r="I48" s="93">
        <v>44636.451388888891</v>
      </c>
      <c r="J48" s="93">
        <v>44636.451388888891</v>
      </c>
      <c r="K48" s="93">
        <v>44636.333333333336</v>
      </c>
    </row>
    <row r="49" spans="1:11" x14ac:dyDescent="0.25">
      <c r="A49" s="70">
        <v>14</v>
      </c>
      <c r="B49" s="94" t="s">
        <v>122</v>
      </c>
      <c r="C49" s="90" t="s">
        <v>110</v>
      </c>
      <c r="D49" s="90" t="s">
        <v>436</v>
      </c>
      <c r="E49" s="90">
        <v>52565651</v>
      </c>
      <c r="F49" s="90">
        <v>52565648</v>
      </c>
      <c r="G49" s="90" t="s">
        <v>108</v>
      </c>
      <c r="H49" s="92">
        <v>3.4722222222222224E-4</v>
      </c>
      <c r="I49" s="93">
        <v>44636.451388888891</v>
      </c>
      <c r="J49" s="93">
        <v>44636.451388888891</v>
      </c>
      <c r="K49" s="93">
        <v>44636.333333333336</v>
      </c>
    </row>
    <row r="50" spans="1:11" x14ac:dyDescent="0.25">
      <c r="A50" s="69">
        <v>15</v>
      </c>
      <c r="B50" s="94" t="s">
        <v>123</v>
      </c>
      <c r="C50" s="90" t="s">
        <v>110</v>
      </c>
      <c r="D50" s="90" t="s">
        <v>437</v>
      </c>
      <c r="E50" s="90">
        <v>52565650</v>
      </c>
      <c r="F50" s="90">
        <v>52565648</v>
      </c>
      <c r="G50" s="90" t="s">
        <v>108</v>
      </c>
      <c r="H50" s="92">
        <v>3.4722222222222222E-5</v>
      </c>
      <c r="I50" s="93">
        <v>44636.451388888891</v>
      </c>
      <c r="J50" s="93">
        <v>44636.451388888891</v>
      </c>
      <c r="K50" s="93">
        <v>44636.333333333336</v>
      </c>
    </row>
    <row r="51" spans="1:11" x14ac:dyDescent="0.25">
      <c r="A51" s="70">
        <v>16</v>
      </c>
      <c r="B51" s="94" t="s">
        <v>124</v>
      </c>
      <c r="C51" s="90" t="s">
        <v>110</v>
      </c>
      <c r="D51" s="90" t="s">
        <v>436</v>
      </c>
      <c r="E51" s="90">
        <v>52565649</v>
      </c>
      <c r="F51" s="90">
        <v>52565648</v>
      </c>
      <c r="G51" s="90" t="s">
        <v>108</v>
      </c>
      <c r="H51" s="92">
        <v>3.4722222222222224E-4</v>
      </c>
      <c r="I51" s="93">
        <v>44636.450694444444</v>
      </c>
      <c r="J51" s="93">
        <v>44636.451388888891</v>
      </c>
      <c r="K51" s="93">
        <v>44636.333333333336</v>
      </c>
    </row>
    <row r="52" spans="1:11" x14ac:dyDescent="0.25">
      <c r="A52" s="69">
        <v>17</v>
      </c>
      <c r="B52" s="89" t="s">
        <v>125</v>
      </c>
      <c r="C52" s="90" t="s">
        <v>126</v>
      </c>
      <c r="D52" s="91"/>
      <c r="E52" s="90">
        <v>52565663</v>
      </c>
      <c r="F52" s="90">
        <v>52565645</v>
      </c>
      <c r="G52" s="90" t="s">
        <v>108</v>
      </c>
      <c r="H52" s="92">
        <v>0</v>
      </c>
      <c r="I52" s="93">
        <v>44636.333333333336</v>
      </c>
      <c r="J52" s="93">
        <v>44636.333333333336</v>
      </c>
      <c r="K52" s="93">
        <v>44636.333333333336</v>
      </c>
    </row>
    <row r="53" spans="1:11" x14ac:dyDescent="0.25">
      <c r="A53" s="70">
        <v>18</v>
      </c>
      <c r="B53" s="89" t="s">
        <v>127</v>
      </c>
      <c r="C53" s="90" t="s">
        <v>110</v>
      </c>
      <c r="D53" s="90" t="s">
        <v>437</v>
      </c>
      <c r="E53" s="90">
        <v>52565662</v>
      </c>
      <c r="F53" s="90">
        <v>52565645</v>
      </c>
      <c r="G53" s="90" t="s">
        <v>108</v>
      </c>
      <c r="H53" s="92">
        <v>1.1574074074074073E-5</v>
      </c>
      <c r="I53" s="93">
        <v>44636.333333333336</v>
      </c>
      <c r="J53" s="93">
        <v>44636.333333333336</v>
      </c>
      <c r="K53" s="93">
        <v>44636.333333333336</v>
      </c>
    </row>
    <row r="54" spans="1:11" x14ac:dyDescent="0.25">
      <c r="A54" s="69">
        <v>19</v>
      </c>
      <c r="B54" s="89" t="s">
        <v>128</v>
      </c>
      <c r="C54" s="90" t="s">
        <v>110</v>
      </c>
      <c r="D54" s="90" t="s">
        <v>437</v>
      </c>
      <c r="E54" s="90">
        <v>52565661</v>
      </c>
      <c r="F54" s="90">
        <v>52565645</v>
      </c>
      <c r="G54" s="90" t="s">
        <v>108</v>
      </c>
      <c r="H54" s="92">
        <v>1.1574074074074073E-5</v>
      </c>
      <c r="I54" s="93">
        <v>44636.333333333336</v>
      </c>
      <c r="J54" s="93">
        <v>44636.333333333336</v>
      </c>
      <c r="K54" s="93">
        <v>44636.333333333336</v>
      </c>
    </row>
    <row r="55" spans="1:11" x14ac:dyDescent="0.25">
      <c r="A55" s="70">
        <v>20</v>
      </c>
      <c r="B55" s="89" t="s">
        <v>69</v>
      </c>
      <c r="C55" s="90" t="s">
        <v>107</v>
      </c>
      <c r="D55" s="91"/>
      <c r="E55" s="90">
        <v>52567190</v>
      </c>
      <c r="F55" s="90">
        <v>52565645</v>
      </c>
      <c r="G55" s="90" t="s">
        <v>108</v>
      </c>
      <c r="H55" s="92">
        <v>6.0127314814814814E-2</v>
      </c>
      <c r="I55" s="93">
        <v>44636.333333333336</v>
      </c>
      <c r="J55" s="93">
        <v>44636.393750000003</v>
      </c>
      <c r="K55" s="93">
        <v>44636.333333333336</v>
      </c>
    </row>
    <row r="56" spans="1:11" x14ac:dyDescent="0.25">
      <c r="A56" s="69">
        <v>21</v>
      </c>
      <c r="B56" s="94" t="s">
        <v>129</v>
      </c>
      <c r="C56" s="90" t="s">
        <v>110</v>
      </c>
      <c r="D56" s="90" t="s">
        <v>437</v>
      </c>
      <c r="E56" s="90">
        <v>52567198</v>
      </c>
      <c r="F56" s="90">
        <v>52567190</v>
      </c>
      <c r="G56" s="90" t="s">
        <v>108</v>
      </c>
      <c r="H56" s="92">
        <v>1.1574074074074073E-5</v>
      </c>
      <c r="I56" s="93">
        <v>44636.393750000003</v>
      </c>
      <c r="J56" s="93">
        <v>44636.393750000003</v>
      </c>
      <c r="K56" s="93">
        <v>44636.333333333336</v>
      </c>
    </row>
    <row r="57" spans="1:11" x14ac:dyDescent="0.25">
      <c r="A57" s="70">
        <v>22</v>
      </c>
      <c r="B57" s="94" t="s">
        <v>130</v>
      </c>
      <c r="C57" s="90" t="s">
        <v>107</v>
      </c>
      <c r="D57" s="91"/>
      <c r="E57" s="90">
        <v>52567197</v>
      </c>
      <c r="F57" s="90">
        <v>52567190</v>
      </c>
      <c r="G57" s="90" t="s">
        <v>108</v>
      </c>
      <c r="H57" s="92">
        <v>3.2268518518518523E-2</v>
      </c>
      <c r="I57" s="93">
        <v>44636.361805555556</v>
      </c>
      <c r="J57" s="93">
        <v>44636.393750000003</v>
      </c>
      <c r="K57" s="93">
        <v>44636.333333333336</v>
      </c>
    </row>
    <row r="58" spans="1:11" x14ac:dyDescent="0.25">
      <c r="A58" s="69">
        <v>23</v>
      </c>
      <c r="B58" s="95" t="s">
        <v>129</v>
      </c>
      <c r="C58" s="90" t="s">
        <v>110</v>
      </c>
      <c r="D58" s="90" t="s">
        <v>437</v>
      </c>
      <c r="E58" s="90">
        <v>52566914</v>
      </c>
      <c r="F58" s="90">
        <v>52567197</v>
      </c>
      <c r="G58" s="90" t="s">
        <v>108</v>
      </c>
      <c r="H58" s="92">
        <v>0</v>
      </c>
      <c r="I58" s="93">
        <v>44636.393750000003</v>
      </c>
      <c r="J58" s="93">
        <v>44636.393750000003</v>
      </c>
      <c r="K58" s="93">
        <v>44636.361805555556</v>
      </c>
    </row>
    <row r="59" spans="1:11" x14ac:dyDescent="0.25">
      <c r="A59" s="70">
        <v>24</v>
      </c>
      <c r="B59" s="95" t="s">
        <v>131</v>
      </c>
      <c r="C59" s="90" t="s">
        <v>110</v>
      </c>
      <c r="D59" s="90" t="s">
        <v>437</v>
      </c>
      <c r="E59" s="90">
        <v>52566913</v>
      </c>
      <c r="F59" s="90">
        <v>52567197</v>
      </c>
      <c r="G59" s="90" t="s">
        <v>108</v>
      </c>
      <c r="H59" s="92">
        <v>2.4305555555555552E-4</v>
      </c>
      <c r="I59" s="93">
        <v>44636.393750000003</v>
      </c>
      <c r="J59" s="93">
        <v>44636.393750000003</v>
      </c>
      <c r="K59" s="93">
        <v>44636.361805555556</v>
      </c>
    </row>
    <row r="60" spans="1:11" x14ac:dyDescent="0.25">
      <c r="A60" s="69">
        <v>25</v>
      </c>
      <c r="B60" s="95" t="s">
        <v>132</v>
      </c>
      <c r="C60" s="90" t="s">
        <v>110</v>
      </c>
      <c r="D60" s="90" t="s">
        <v>437</v>
      </c>
      <c r="E60" s="90">
        <v>52566911</v>
      </c>
      <c r="F60" s="90">
        <v>52567197</v>
      </c>
      <c r="G60" s="90" t="s">
        <v>108</v>
      </c>
      <c r="H60" s="92">
        <v>1.273148148148148E-4</v>
      </c>
      <c r="I60" s="93">
        <v>44636.393750000003</v>
      </c>
      <c r="J60" s="93">
        <v>44636.393750000003</v>
      </c>
      <c r="K60" s="93">
        <v>44636.361805555556</v>
      </c>
    </row>
    <row r="61" spans="1:11" x14ac:dyDescent="0.25">
      <c r="A61" s="70">
        <v>26</v>
      </c>
      <c r="B61" s="95" t="s">
        <v>133</v>
      </c>
      <c r="C61" s="90" t="s">
        <v>110</v>
      </c>
      <c r="D61" s="90" t="s">
        <v>437</v>
      </c>
      <c r="E61" s="90">
        <v>52566910</v>
      </c>
      <c r="F61" s="90">
        <v>52567197</v>
      </c>
      <c r="G61" s="90" t="s">
        <v>108</v>
      </c>
      <c r="H61" s="92">
        <v>7.0601851851851847E-4</v>
      </c>
      <c r="I61" s="93">
        <v>44636.392361111109</v>
      </c>
      <c r="J61" s="93">
        <v>44636.393055555556</v>
      </c>
      <c r="K61" s="93">
        <v>44636.361805555556</v>
      </c>
    </row>
    <row r="62" spans="1:11" x14ac:dyDescent="0.25">
      <c r="A62" s="69">
        <v>27</v>
      </c>
      <c r="B62" s="95" t="s">
        <v>134</v>
      </c>
      <c r="C62" s="90" t="s">
        <v>110</v>
      </c>
      <c r="D62" s="90" t="s">
        <v>437</v>
      </c>
      <c r="E62" s="90">
        <v>52566909</v>
      </c>
      <c r="F62" s="90">
        <v>52567197</v>
      </c>
      <c r="G62" s="90" t="s">
        <v>108</v>
      </c>
      <c r="H62" s="92">
        <v>1.1574074074074073E-5</v>
      </c>
      <c r="I62" s="93">
        <v>44636.392361111109</v>
      </c>
      <c r="J62" s="93">
        <v>44636.392361111109</v>
      </c>
      <c r="K62" s="93">
        <v>44636.361805555556</v>
      </c>
    </row>
    <row r="63" spans="1:11" x14ac:dyDescent="0.25">
      <c r="A63" s="70">
        <v>28</v>
      </c>
      <c r="B63" s="95" t="s">
        <v>135</v>
      </c>
      <c r="C63" s="90" t="s">
        <v>110</v>
      </c>
      <c r="D63" s="90" t="s">
        <v>437</v>
      </c>
      <c r="E63" s="90">
        <v>52566908</v>
      </c>
      <c r="F63" s="90">
        <v>52567197</v>
      </c>
      <c r="G63" s="90" t="s">
        <v>108</v>
      </c>
      <c r="H63" s="92">
        <v>3.4722222222222222E-5</v>
      </c>
      <c r="I63" s="93">
        <v>44636.392361111109</v>
      </c>
      <c r="J63" s="93">
        <v>44636.392361111109</v>
      </c>
      <c r="K63" s="93">
        <v>44636.361805555556</v>
      </c>
    </row>
    <row r="64" spans="1:11" x14ac:dyDescent="0.25">
      <c r="A64" s="69">
        <v>29</v>
      </c>
      <c r="B64" s="95" t="s">
        <v>136</v>
      </c>
      <c r="C64" s="90" t="s">
        <v>110</v>
      </c>
      <c r="D64" s="90" t="s">
        <v>437</v>
      </c>
      <c r="E64" s="90">
        <v>52566912</v>
      </c>
      <c r="F64" s="90">
        <v>52567197</v>
      </c>
      <c r="G64" s="90" t="s">
        <v>108</v>
      </c>
      <c r="H64" s="92">
        <v>2.3148148148148146E-4</v>
      </c>
      <c r="I64" s="93">
        <v>44636.39166666667</v>
      </c>
      <c r="J64" s="93">
        <v>44636.392361111109</v>
      </c>
      <c r="K64" s="93">
        <v>44636.361805555556</v>
      </c>
    </row>
    <row r="65" spans="1:11" x14ac:dyDescent="0.25">
      <c r="A65" s="70">
        <v>30</v>
      </c>
      <c r="B65" s="95" t="s">
        <v>137</v>
      </c>
      <c r="C65" s="90" t="s">
        <v>110</v>
      </c>
      <c r="D65" s="90" t="s">
        <v>437</v>
      </c>
      <c r="E65" s="90">
        <v>52566905</v>
      </c>
      <c r="F65" s="90">
        <v>52567197</v>
      </c>
      <c r="G65" s="90" t="s">
        <v>108</v>
      </c>
      <c r="H65" s="92">
        <v>1.2268518518518518E-3</v>
      </c>
      <c r="I65" s="93">
        <v>44636.390972222223</v>
      </c>
      <c r="J65" s="93">
        <v>44636.392361111109</v>
      </c>
      <c r="K65" s="93">
        <v>44636.361805555556</v>
      </c>
    </row>
    <row r="66" spans="1:11" x14ac:dyDescent="0.25">
      <c r="A66" s="69">
        <v>31</v>
      </c>
      <c r="B66" s="95" t="s">
        <v>141</v>
      </c>
      <c r="C66" s="90" t="s">
        <v>110</v>
      </c>
      <c r="D66" s="90" t="s">
        <v>437</v>
      </c>
      <c r="E66" s="90">
        <v>52566907</v>
      </c>
      <c r="F66" s="90">
        <v>52567197</v>
      </c>
      <c r="G66" s="90" t="s">
        <v>108</v>
      </c>
      <c r="H66" s="92">
        <v>7.291666666666667E-4</v>
      </c>
      <c r="I66" s="93">
        <v>44636.390972222223</v>
      </c>
      <c r="J66" s="93">
        <v>44636.39166666667</v>
      </c>
      <c r="K66" s="93">
        <v>44636.361805555556</v>
      </c>
    </row>
    <row r="67" spans="1:11" x14ac:dyDescent="0.25">
      <c r="A67" s="70">
        <v>32</v>
      </c>
      <c r="B67" s="95" t="s">
        <v>138</v>
      </c>
      <c r="C67" s="90" t="s">
        <v>110</v>
      </c>
      <c r="D67" s="90" t="s">
        <v>437</v>
      </c>
      <c r="E67" s="90">
        <v>52566904</v>
      </c>
      <c r="F67" s="90">
        <v>52567197</v>
      </c>
      <c r="G67" s="90" t="s">
        <v>108</v>
      </c>
      <c r="H67" s="92">
        <v>4.6296296296296294E-5</v>
      </c>
      <c r="I67" s="93">
        <v>44636.390972222223</v>
      </c>
      <c r="J67" s="93">
        <v>44636.390972222223</v>
      </c>
      <c r="K67" s="93">
        <v>44636.361805555556</v>
      </c>
    </row>
    <row r="68" spans="1:11" x14ac:dyDescent="0.25">
      <c r="A68" s="69">
        <v>33</v>
      </c>
      <c r="B68" s="95" t="s">
        <v>139</v>
      </c>
      <c r="C68" s="90" t="s">
        <v>110</v>
      </c>
      <c r="D68" s="90" t="s">
        <v>437</v>
      </c>
      <c r="E68" s="90">
        <v>52566903</v>
      </c>
      <c r="F68" s="90">
        <v>52567197</v>
      </c>
      <c r="G68" s="90" t="s">
        <v>108</v>
      </c>
      <c r="H68" s="92">
        <v>9.2592592592592588E-5</v>
      </c>
      <c r="I68" s="93">
        <v>44636.390972222223</v>
      </c>
      <c r="J68" s="93">
        <v>44636.390972222223</v>
      </c>
      <c r="K68" s="93">
        <v>44636.361805555556</v>
      </c>
    </row>
    <row r="69" spans="1:11" x14ac:dyDescent="0.25">
      <c r="A69" s="70">
        <v>34</v>
      </c>
      <c r="B69" s="95" t="s">
        <v>140</v>
      </c>
      <c r="C69" s="90" t="s">
        <v>110</v>
      </c>
      <c r="D69" s="90" t="s">
        <v>437</v>
      </c>
      <c r="E69" s="90">
        <v>52566902</v>
      </c>
      <c r="F69" s="90">
        <v>52567197</v>
      </c>
      <c r="G69" s="90" t="s">
        <v>108</v>
      </c>
      <c r="H69" s="92">
        <v>1.0416666666666667E-4</v>
      </c>
      <c r="I69" s="93">
        <v>44636.390972222223</v>
      </c>
      <c r="J69" s="93">
        <v>44636.390972222223</v>
      </c>
      <c r="K69" s="93">
        <v>44636.361805555556</v>
      </c>
    </row>
    <row r="70" spans="1:11" x14ac:dyDescent="0.25">
      <c r="A70" s="69">
        <v>35</v>
      </c>
      <c r="B70" s="95" t="s">
        <v>142</v>
      </c>
      <c r="C70" s="90" t="s">
        <v>110</v>
      </c>
      <c r="D70" s="90" t="s">
        <v>437</v>
      </c>
      <c r="E70" s="90">
        <v>52566901</v>
      </c>
      <c r="F70" s="90">
        <v>52567197</v>
      </c>
      <c r="G70" s="90" t="s">
        <v>108</v>
      </c>
      <c r="H70" s="92">
        <v>9.2592592592592588E-5</v>
      </c>
      <c r="I70" s="93">
        <v>44636.390972222223</v>
      </c>
      <c r="J70" s="93">
        <v>44636.390972222223</v>
      </c>
      <c r="K70" s="93">
        <v>44636.361805555556</v>
      </c>
    </row>
    <row r="71" spans="1:11" x14ac:dyDescent="0.25">
      <c r="A71" s="70">
        <v>36</v>
      </c>
      <c r="B71" s="95" t="s">
        <v>144</v>
      </c>
      <c r="C71" s="90" t="s">
        <v>110</v>
      </c>
      <c r="D71" s="90" t="s">
        <v>437</v>
      </c>
      <c r="E71" s="90">
        <v>52566906</v>
      </c>
      <c r="F71" s="90">
        <v>52567197</v>
      </c>
      <c r="G71" s="90" t="s">
        <v>108</v>
      </c>
      <c r="H71" s="92">
        <v>1.8634259259259261E-3</v>
      </c>
      <c r="I71" s="93">
        <v>44636.390972222223</v>
      </c>
      <c r="J71" s="93">
        <v>44636.392361111109</v>
      </c>
      <c r="K71" s="93">
        <v>44636.361805555556</v>
      </c>
    </row>
    <row r="72" spans="1:11" x14ac:dyDescent="0.25">
      <c r="A72" s="69">
        <v>37</v>
      </c>
      <c r="B72" s="95" t="s">
        <v>143</v>
      </c>
      <c r="C72" s="90" t="s">
        <v>110</v>
      </c>
      <c r="D72" s="90" t="s">
        <v>437</v>
      </c>
      <c r="E72" s="90">
        <v>52565845</v>
      </c>
      <c r="F72" s="90">
        <v>52567197</v>
      </c>
      <c r="G72" s="90" t="s">
        <v>108</v>
      </c>
      <c r="H72" s="92">
        <v>5.7870370370370366E-5</v>
      </c>
      <c r="I72" s="93">
        <v>44636.390972222223</v>
      </c>
      <c r="J72" s="93">
        <v>44636.390972222223</v>
      </c>
      <c r="K72" s="93">
        <v>44636.361805555556</v>
      </c>
    </row>
    <row r="73" spans="1:11" x14ac:dyDescent="0.25">
      <c r="A73" s="70">
        <v>38</v>
      </c>
      <c r="B73" s="95" t="s">
        <v>145</v>
      </c>
      <c r="C73" s="90" t="s">
        <v>110</v>
      </c>
      <c r="D73" s="90" t="s">
        <v>437</v>
      </c>
      <c r="E73" s="90">
        <v>52565844</v>
      </c>
      <c r="F73" s="90">
        <v>52567197</v>
      </c>
      <c r="G73" s="90" t="s">
        <v>108</v>
      </c>
      <c r="H73" s="92">
        <v>4.6296296296296294E-5</v>
      </c>
      <c r="I73" s="93">
        <v>44636.390972222223</v>
      </c>
      <c r="J73" s="93">
        <v>44636.390972222223</v>
      </c>
      <c r="K73" s="93">
        <v>44636.361805555556</v>
      </c>
    </row>
    <row r="74" spans="1:11" x14ac:dyDescent="0.25">
      <c r="A74" s="69">
        <v>39</v>
      </c>
      <c r="B74" s="95" t="s">
        <v>146</v>
      </c>
      <c r="C74" s="90" t="s">
        <v>110</v>
      </c>
      <c r="D74" s="90" t="s">
        <v>437</v>
      </c>
      <c r="E74" s="90">
        <v>52565843</v>
      </c>
      <c r="F74" s="90">
        <v>52567197</v>
      </c>
      <c r="G74" s="90" t="s">
        <v>108</v>
      </c>
      <c r="H74" s="92">
        <v>6.9444444444444444E-5</v>
      </c>
      <c r="I74" s="93">
        <v>44636.390972222223</v>
      </c>
      <c r="J74" s="93">
        <v>44636.390972222223</v>
      </c>
      <c r="K74" s="93">
        <v>44636.361805555556</v>
      </c>
    </row>
    <row r="75" spans="1:11" x14ac:dyDescent="0.25">
      <c r="A75" s="70">
        <v>40</v>
      </c>
      <c r="B75" s="95" t="s">
        <v>147</v>
      </c>
      <c r="C75" s="90" t="s">
        <v>110</v>
      </c>
      <c r="D75" s="90" t="s">
        <v>437</v>
      </c>
      <c r="E75" s="90">
        <v>52565842</v>
      </c>
      <c r="F75" s="90">
        <v>52567197</v>
      </c>
      <c r="G75" s="90" t="s">
        <v>108</v>
      </c>
      <c r="H75" s="92">
        <v>5.7870370370370366E-5</v>
      </c>
      <c r="I75" s="93">
        <v>44636.390277777777</v>
      </c>
      <c r="J75" s="93">
        <v>44636.390972222223</v>
      </c>
      <c r="K75" s="93">
        <v>44636.361805555556</v>
      </c>
    </row>
    <row r="76" spans="1:11" x14ac:dyDescent="0.25">
      <c r="A76" s="69">
        <v>41</v>
      </c>
      <c r="B76" s="95" t="s">
        <v>148</v>
      </c>
      <c r="C76" s="90" t="s">
        <v>110</v>
      </c>
      <c r="D76" s="90" t="s">
        <v>437</v>
      </c>
      <c r="E76" s="90">
        <v>52565841</v>
      </c>
      <c r="F76" s="90">
        <v>52567197</v>
      </c>
      <c r="G76" s="90" t="s">
        <v>108</v>
      </c>
      <c r="H76" s="92">
        <v>6.9444444444444444E-5</v>
      </c>
      <c r="I76" s="93">
        <v>44636.390277777777</v>
      </c>
      <c r="J76" s="93">
        <v>44636.390277777777</v>
      </c>
      <c r="K76" s="93">
        <v>44636.361805555556</v>
      </c>
    </row>
    <row r="77" spans="1:11" x14ac:dyDescent="0.25">
      <c r="A77" s="70">
        <v>42</v>
      </c>
      <c r="B77" s="95" t="s">
        <v>150</v>
      </c>
      <c r="C77" s="90" t="s">
        <v>110</v>
      </c>
      <c r="D77" s="90" t="s">
        <v>437</v>
      </c>
      <c r="E77" s="90">
        <v>52565839</v>
      </c>
      <c r="F77" s="90">
        <v>52567197</v>
      </c>
      <c r="G77" s="90" t="s">
        <v>108</v>
      </c>
      <c r="H77" s="92">
        <v>6.9444444444444447E-4</v>
      </c>
      <c r="I77" s="93">
        <v>44636.390277777777</v>
      </c>
      <c r="J77" s="93">
        <v>44636.390972222223</v>
      </c>
      <c r="K77" s="93">
        <v>44636.361805555556</v>
      </c>
    </row>
    <row r="78" spans="1:11" x14ac:dyDescent="0.25">
      <c r="A78" s="69">
        <v>43</v>
      </c>
      <c r="B78" s="95" t="s">
        <v>149</v>
      </c>
      <c r="C78" s="90" t="s">
        <v>110</v>
      </c>
      <c r="D78" s="90" t="s">
        <v>437</v>
      </c>
      <c r="E78" s="90">
        <v>52565840</v>
      </c>
      <c r="F78" s="90">
        <v>52567197</v>
      </c>
      <c r="G78" s="90" t="s">
        <v>108</v>
      </c>
      <c r="H78" s="92">
        <v>5.7870370370370366E-5</v>
      </c>
      <c r="I78" s="93">
        <v>44636.390277777777</v>
      </c>
      <c r="J78" s="93">
        <v>44636.390277777777</v>
      </c>
      <c r="K78" s="93">
        <v>44636.361805555556</v>
      </c>
    </row>
    <row r="79" spans="1:11" x14ac:dyDescent="0.25">
      <c r="A79" s="70">
        <v>44</v>
      </c>
      <c r="B79" s="95" t="s">
        <v>151</v>
      </c>
      <c r="C79" s="90" t="s">
        <v>110</v>
      </c>
      <c r="D79" s="90" t="s">
        <v>437</v>
      </c>
      <c r="E79" s="90">
        <v>52565838</v>
      </c>
      <c r="F79" s="90">
        <v>52567197</v>
      </c>
      <c r="G79" s="90" t="s">
        <v>108</v>
      </c>
      <c r="H79" s="92">
        <v>1.0763888888888891E-2</v>
      </c>
      <c r="I79" s="93">
        <v>44636.379861111112</v>
      </c>
      <c r="J79" s="93">
        <v>44636.390277777777</v>
      </c>
      <c r="K79" s="93">
        <v>44636.361805555556</v>
      </c>
    </row>
    <row r="80" spans="1:11" x14ac:dyDescent="0.25">
      <c r="A80" s="69">
        <v>45</v>
      </c>
      <c r="B80" s="95" t="s">
        <v>152</v>
      </c>
      <c r="C80" s="90" t="s">
        <v>110</v>
      </c>
      <c r="D80" s="90" t="s">
        <v>437</v>
      </c>
      <c r="E80" s="90">
        <v>52565837</v>
      </c>
      <c r="F80" s="90">
        <v>52567197</v>
      </c>
      <c r="G80" s="90" t="s">
        <v>108</v>
      </c>
      <c r="H80" s="92">
        <v>5.0347222222222225E-3</v>
      </c>
      <c r="I80" s="93">
        <v>44636.375</v>
      </c>
      <c r="J80" s="93">
        <v>44636.379861111112</v>
      </c>
      <c r="K80" s="93">
        <v>44636.361805555556</v>
      </c>
    </row>
    <row r="81" spans="1:11" x14ac:dyDescent="0.25">
      <c r="A81" s="70">
        <v>46</v>
      </c>
      <c r="B81" s="95" t="s">
        <v>153</v>
      </c>
      <c r="C81" s="90" t="s">
        <v>110</v>
      </c>
      <c r="D81" s="90" t="s">
        <v>437</v>
      </c>
      <c r="E81" s="90">
        <v>52565836</v>
      </c>
      <c r="F81" s="90">
        <v>52567197</v>
      </c>
      <c r="G81" s="90" t="s">
        <v>108</v>
      </c>
      <c r="H81" s="92">
        <v>1.2442129629629629E-2</v>
      </c>
      <c r="I81" s="93">
        <v>44636.362500000003</v>
      </c>
      <c r="J81" s="93">
        <v>44636.375</v>
      </c>
      <c r="K81" s="93">
        <v>44636.361805555556</v>
      </c>
    </row>
    <row r="82" spans="1:11" x14ac:dyDescent="0.25">
      <c r="A82" s="69">
        <v>47</v>
      </c>
      <c r="B82" s="95" t="s">
        <v>154</v>
      </c>
      <c r="C82" s="90" t="s">
        <v>110</v>
      </c>
      <c r="D82" s="90" t="s">
        <v>437</v>
      </c>
      <c r="E82" s="90">
        <v>52565835</v>
      </c>
      <c r="F82" s="90">
        <v>52567197</v>
      </c>
      <c r="G82" s="90" t="s">
        <v>108</v>
      </c>
      <c r="H82" s="92">
        <v>9.2592592592592588E-5</v>
      </c>
      <c r="I82" s="93">
        <v>44636.361805555556</v>
      </c>
      <c r="J82" s="93">
        <v>44636.362500000003</v>
      </c>
      <c r="K82" s="93">
        <v>44636.361805555556</v>
      </c>
    </row>
    <row r="83" spans="1:11" x14ac:dyDescent="0.25">
      <c r="A83" s="70">
        <v>48</v>
      </c>
      <c r="B83" s="95" t="s">
        <v>155</v>
      </c>
      <c r="C83" s="90" t="s">
        <v>110</v>
      </c>
      <c r="D83" s="90" t="s">
        <v>437</v>
      </c>
      <c r="E83" s="90">
        <v>52565834</v>
      </c>
      <c r="F83" s="90">
        <v>52567197</v>
      </c>
      <c r="G83" s="90" t="s">
        <v>108</v>
      </c>
      <c r="H83" s="92">
        <v>3.7037037037037035E-4</v>
      </c>
      <c r="I83" s="93">
        <v>44636.361805555556</v>
      </c>
      <c r="J83" s="93">
        <v>44636.361805555556</v>
      </c>
      <c r="K83" s="93">
        <v>44636.361805555556</v>
      </c>
    </row>
    <row r="84" spans="1:11" x14ac:dyDescent="0.25">
      <c r="A84" s="69">
        <v>49</v>
      </c>
      <c r="B84" s="95" t="s">
        <v>156</v>
      </c>
      <c r="C84" s="90" t="s">
        <v>110</v>
      </c>
      <c r="D84" s="90" t="s">
        <v>437</v>
      </c>
      <c r="E84" s="90">
        <v>52565833</v>
      </c>
      <c r="F84" s="90">
        <v>52567197</v>
      </c>
      <c r="G84" s="90" t="s">
        <v>108</v>
      </c>
      <c r="H84" s="92">
        <v>8.1018518518518516E-5</v>
      </c>
      <c r="I84" s="93">
        <v>44636.361805555556</v>
      </c>
      <c r="J84" s="93">
        <v>44636.361805555556</v>
      </c>
      <c r="K84" s="93">
        <v>44636.361805555556</v>
      </c>
    </row>
    <row r="85" spans="1:11" x14ac:dyDescent="0.25">
      <c r="A85" s="70">
        <v>50</v>
      </c>
      <c r="B85" s="95" t="s">
        <v>157</v>
      </c>
      <c r="C85" s="90" t="s">
        <v>110</v>
      </c>
      <c r="D85" s="90" t="s">
        <v>437</v>
      </c>
      <c r="E85" s="90">
        <v>52565832</v>
      </c>
      <c r="F85" s="90">
        <v>52567197</v>
      </c>
      <c r="G85" s="90" t="s">
        <v>108</v>
      </c>
      <c r="H85" s="92">
        <v>1.1574074074074073E-4</v>
      </c>
      <c r="I85" s="93">
        <v>44636.361805555556</v>
      </c>
      <c r="J85" s="93">
        <v>44636.361805555556</v>
      </c>
      <c r="K85" s="93">
        <v>44636.361805555556</v>
      </c>
    </row>
    <row r="86" spans="1:11" x14ac:dyDescent="0.25">
      <c r="A86" s="69">
        <v>51</v>
      </c>
      <c r="B86" s="95" t="s">
        <v>129</v>
      </c>
      <c r="C86" s="90" t="s">
        <v>110</v>
      </c>
      <c r="D86" s="90" t="s">
        <v>437</v>
      </c>
      <c r="E86" s="90">
        <v>52565831</v>
      </c>
      <c r="F86" s="90">
        <v>52567197</v>
      </c>
      <c r="G86" s="90" t="s">
        <v>108</v>
      </c>
      <c r="H86" s="92">
        <v>0</v>
      </c>
      <c r="I86" s="93">
        <v>44636.361805555556</v>
      </c>
      <c r="J86" s="93">
        <v>44636.361805555556</v>
      </c>
      <c r="K86" s="93">
        <v>44636.361805555556</v>
      </c>
    </row>
    <row r="87" spans="1:11" x14ac:dyDescent="0.25">
      <c r="A87" s="70">
        <v>52</v>
      </c>
      <c r="B87" s="94" t="s">
        <v>157</v>
      </c>
      <c r="C87" s="90" t="s">
        <v>110</v>
      </c>
      <c r="D87" s="90" t="s">
        <v>437</v>
      </c>
      <c r="E87" s="90">
        <v>52567196</v>
      </c>
      <c r="F87" s="90">
        <v>52567190</v>
      </c>
      <c r="G87" s="90" t="s">
        <v>108</v>
      </c>
      <c r="H87" s="92">
        <v>1.4502314814814815E-2</v>
      </c>
      <c r="I87" s="93">
        <v>44636.347222222219</v>
      </c>
      <c r="J87" s="93">
        <v>44636.361805555556</v>
      </c>
      <c r="K87" s="93">
        <v>44636.333333333336</v>
      </c>
    </row>
    <row r="88" spans="1:11" x14ac:dyDescent="0.25">
      <c r="A88" s="69">
        <v>53</v>
      </c>
      <c r="B88" s="94" t="s">
        <v>158</v>
      </c>
      <c r="C88" s="90" t="s">
        <v>110</v>
      </c>
      <c r="D88" s="90" t="s">
        <v>437</v>
      </c>
      <c r="E88" s="90">
        <v>52567195</v>
      </c>
      <c r="F88" s="90">
        <v>52567190</v>
      </c>
      <c r="G88" s="90" t="s">
        <v>108</v>
      </c>
      <c r="H88" s="92">
        <v>8.0208333333333329E-3</v>
      </c>
      <c r="I88" s="93">
        <v>44636.338888888888</v>
      </c>
      <c r="J88" s="93">
        <v>44636.347222222219</v>
      </c>
      <c r="K88" s="93">
        <v>44636.333333333336</v>
      </c>
    </row>
    <row r="89" spans="1:11" x14ac:dyDescent="0.25">
      <c r="A89" s="70">
        <v>54</v>
      </c>
      <c r="B89" s="94" t="s">
        <v>159</v>
      </c>
      <c r="C89" s="90" t="s">
        <v>110</v>
      </c>
      <c r="D89" s="90" t="s">
        <v>437</v>
      </c>
      <c r="E89" s="90">
        <v>52567194</v>
      </c>
      <c r="F89" s="90">
        <v>52567190</v>
      </c>
      <c r="G89" s="90" t="s">
        <v>108</v>
      </c>
      <c r="H89" s="92">
        <v>1.8518518518518518E-4</v>
      </c>
      <c r="I89" s="93">
        <v>44636.338888888888</v>
      </c>
      <c r="J89" s="93">
        <v>44636.338888888888</v>
      </c>
      <c r="K89" s="93">
        <v>44636.333333333336</v>
      </c>
    </row>
    <row r="90" spans="1:11" x14ac:dyDescent="0.25">
      <c r="A90" s="69">
        <v>55</v>
      </c>
      <c r="B90" s="94" t="s">
        <v>160</v>
      </c>
      <c r="C90" s="90" t="s">
        <v>110</v>
      </c>
      <c r="D90" s="90" t="s">
        <v>437</v>
      </c>
      <c r="E90" s="90">
        <v>52567193</v>
      </c>
      <c r="F90" s="90">
        <v>52567190</v>
      </c>
      <c r="G90" s="90" t="s">
        <v>108</v>
      </c>
      <c r="H90" s="92">
        <v>4.5370370370370365E-3</v>
      </c>
      <c r="I90" s="93">
        <v>44636.334027777775</v>
      </c>
      <c r="J90" s="93">
        <v>44636.338888888888</v>
      </c>
      <c r="K90" s="93">
        <v>44636.333333333336</v>
      </c>
    </row>
    <row r="91" spans="1:11" x14ac:dyDescent="0.25">
      <c r="A91" s="70">
        <v>56</v>
      </c>
      <c r="B91" s="94" t="s">
        <v>129</v>
      </c>
      <c r="C91" s="90" t="s">
        <v>110</v>
      </c>
      <c r="D91" s="90" t="s">
        <v>437</v>
      </c>
      <c r="E91" s="90">
        <v>52567191</v>
      </c>
      <c r="F91" s="90">
        <v>52567190</v>
      </c>
      <c r="G91" s="90" t="s">
        <v>108</v>
      </c>
      <c r="H91" s="92">
        <v>0</v>
      </c>
      <c r="I91" s="93">
        <v>44636.334027777775</v>
      </c>
      <c r="J91" s="93">
        <v>44636.334027777775</v>
      </c>
      <c r="K91" s="93">
        <v>44636.333333333336</v>
      </c>
    </row>
    <row r="92" spans="1:11" x14ac:dyDescent="0.25">
      <c r="A92" s="69">
        <v>57</v>
      </c>
      <c r="B92" s="94" t="s">
        <v>161</v>
      </c>
      <c r="C92" s="90" t="s">
        <v>110</v>
      </c>
      <c r="D92" s="90" t="s">
        <v>437</v>
      </c>
      <c r="E92" s="90">
        <v>52567192</v>
      </c>
      <c r="F92" s="90">
        <v>52567190</v>
      </c>
      <c r="G92" s="90" t="s">
        <v>108</v>
      </c>
      <c r="H92" s="92">
        <v>5.3240740740740744E-4</v>
      </c>
      <c r="I92" s="93">
        <v>44636.334027777775</v>
      </c>
      <c r="J92" s="93">
        <v>44636.334027777775</v>
      </c>
      <c r="K92" s="93">
        <v>44636.333333333336</v>
      </c>
    </row>
    <row r="93" spans="1:11" x14ac:dyDescent="0.25">
      <c r="A93" s="70">
        <v>58</v>
      </c>
      <c r="B93" s="89" t="s">
        <v>70</v>
      </c>
      <c r="C93" s="90" t="s">
        <v>107</v>
      </c>
      <c r="D93" s="91"/>
      <c r="E93" s="90">
        <v>52567208</v>
      </c>
      <c r="F93" s="90">
        <v>52565645</v>
      </c>
      <c r="G93" s="90" t="s">
        <v>108</v>
      </c>
      <c r="H93" s="92">
        <v>5.6365740740740742E-3</v>
      </c>
      <c r="I93" s="93">
        <v>44636.4</v>
      </c>
      <c r="J93" s="93">
        <v>44636.405555555553</v>
      </c>
      <c r="K93" s="93">
        <v>44636.333333333336</v>
      </c>
    </row>
    <row r="94" spans="1:11" x14ac:dyDescent="0.25">
      <c r="A94" s="69">
        <v>59</v>
      </c>
      <c r="B94" s="89" t="s">
        <v>162</v>
      </c>
      <c r="C94" s="90" t="s">
        <v>110</v>
      </c>
      <c r="D94" s="90" t="s">
        <v>436</v>
      </c>
      <c r="E94" s="90">
        <v>52567207</v>
      </c>
      <c r="F94" s="90">
        <v>52565645</v>
      </c>
      <c r="G94" s="90" t="s">
        <v>108</v>
      </c>
      <c r="H94" s="92">
        <v>3.4722222222222224E-4</v>
      </c>
      <c r="I94" s="93">
        <v>44636.399305555555</v>
      </c>
      <c r="J94" s="93">
        <v>44636.4</v>
      </c>
      <c r="K94" s="93">
        <v>44636.333333333336</v>
      </c>
    </row>
    <row r="95" spans="1:11" x14ac:dyDescent="0.25">
      <c r="A95" s="70">
        <v>60</v>
      </c>
      <c r="B95" s="89" t="s">
        <v>163</v>
      </c>
      <c r="C95" s="90" t="s">
        <v>110</v>
      </c>
      <c r="D95" s="90" t="s">
        <v>437</v>
      </c>
      <c r="E95" s="90">
        <v>52567206</v>
      </c>
      <c r="F95" s="90">
        <v>52565645</v>
      </c>
      <c r="G95" s="90" t="s">
        <v>108</v>
      </c>
      <c r="H95" s="92">
        <v>1.1574074074074073E-5</v>
      </c>
      <c r="I95" s="93">
        <v>44636.399305555555</v>
      </c>
      <c r="J95" s="93">
        <v>44636.399305555555</v>
      </c>
      <c r="K95" s="93">
        <v>44636.333333333336</v>
      </c>
    </row>
    <row r="96" spans="1:11" x14ac:dyDescent="0.25">
      <c r="A96" s="69">
        <v>61</v>
      </c>
      <c r="B96" s="89" t="s">
        <v>164</v>
      </c>
      <c r="C96" s="90" t="s">
        <v>110</v>
      </c>
      <c r="D96" s="90" t="s">
        <v>437</v>
      </c>
      <c r="E96" s="90">
        <v>52567205</v>
      </c>
      <c r="F96" s="90">
        <v>52565645</v>
      </c>
      <c r="G96" s="90" t="s">
        <v>108</v>
      </c>
      <c r="H96" s="92">
        <v>4.0046296296296297E-3</v>
      </c>
      <c r="I96" s="93">
        <v>44636.395138888889</v>
      </c>
      <c r="J96" s="93">
        <v>44636.399305555555</v>
      </c>
      <c r="K96" s="93">
        <v>44636.333333333336</v>
      </c>
    </row>
    <row r="97" spans="1:11" x14ac:dyDescent="0.25">
      <c r="A97" s="70">
        <v>62</v>
      </c>
      <c r="B97" s="89" t="s">
        <v>165</v>
      </c>
      <c r="C97" s="90" t="s">
        <v>110</v>
      </c>
      <c r="D97" s="90" t="s">
        <v>437</v>
      </c>
      <c r="E97" s="90">
        <v>52567204</v>
      </c>
      <c r="F97" s="90">
        <v>52565645</v>
      </c>
      <c r="G97" s="90" t="s">
        <v>108</v>
      </c>
      <c r="H97" s="92">
        <v>4.8611111111111104E-4</v>
      </c>
      <c r="I97" s="93">
        <v>44636.395138888889</v>
      </c>
      <c r="J97" s="93">
        <v>44636.395138888889</v>
      </c>
      <c r="K97" s="93">
        <v>44636.333333333336</v>
      </c>
    </row>
    <row r="98" spans="1:11" x14ac:dyDescent="0.25">
      <c r="A98" s="69">
        <v>63</v>
      </c>
      <c r="B98" s="89" t="s">
        <v>166</v>
      </c>
      <c r="C98" s="90" t="s">
        <v>110</v>
      </c>
      <c r="D98" s="90" t="s">
        <v>437</v>
      </c>
      <c r="E98" s="90">
        <v>52567203</v>
      </c>
      <c r="F98" s="90">
        <v>52565645</v>
      </c>
      <c r="G98" s="90" t="s">
        <v>108</v>
      </c>
      <c r="H98" s="92">
        <v>2.5462962962962961E-4</v>
      </c>
      <c r="I98" s="93">
        <v>44636.394444444442</v>
      </c>
      <c r="J98" s="93">
        <v>44636.394444444442</v>
      </c>
      <c r="K98" s="93">
        <v>44636.333333333336</v>
      </c>
    </row>
    <row r="99" spans="1:11" x14ac:dyDescent="0.25">
      <c r="A99" s="70">
        <v>64</v>
      </c>
      <c r="B99" s="89" t="s">
        <v>167</v>
      </c>
      <c r="C99" s="90" t="s">
        <v>107</v>
      </c>
      <c r="D99" s="91"/>
      <c r="E99" s="90">
        <v>52567200</v>
      </c>
      <c r="F99" s="90">
        <v>52565645</v>
      </c>
      <c r="G99" s="90" t="s">
        <v>108</v>
      </c>
      <c r="H99" s="92">
        <v>7.5231481481481471E-4</v>
      </c>
      <c r="I99" s="93">
        <v>44636.394444444442</v>
      </c>
      <c r="J99" s="93">
        <v>44636.395138888889</v>
      </c>
      <c r="K99" s="93">
        <v>44636.333333333336</v>
      </c>
    </row>
    <row r="100" spans="1:11" x14ac:dyDescent="0.25">
      <c r="A100" s="69">
        <v>65</v>
      </c>
      <c r="B100" s="89" t="s">
        <v>168</v>
      </c>
      <c r="C100" s="90" t="s">
        <v>110</v>
      </c>
      <c r="D100" s="90" t="s">
        <v>436</v>
      </c>
      <c r="E100" s="90">
        <v>52567199</v>
      </c>
      <c r="F100" s="90">
        <v>52565645</v>
      </c>
      <c r="G100" s="90" t="s">
        <v>108</v>
      </c>
      <c r="H100" s="92">
        <v>3.4722222222222224E-4</v>
      </c>
      <c r="I100" s="93">
        <v>44636.393750000003</v>
      </c>
      <c r="J100" s="93">
        <v>44636.394444444442</v>
      </c>
      <c r="K100" s="93">
        <v>44636.333333333336</v>
      </c>
    </row>
    <row r="101" spans="1:11" x14ac:dyDescent="0.25">
      <c r="A101" s="70">
        <v>66</v>
      </c>
      <c r="B101" s="89" t="s">
        <v>71</v>
      </c>
      <c r="C101" s="90" t="s">
        <v>107</v>
      </c>
      <c r="D101" s="91"/>
      <c r="E101" s="90">
        <v>52565680</v>
      </c>
      <c r="F101" s="90">
        <v>52565645</v>
      </c>
      <c r="G101" s="90" t="s">
        <v>108</v>
      </c>
      <c r="H101" s="92">
        <v>1.9120370370370371E-2</v>
      </c>
      <c r="I101" s="93">
        <v>44636.4</v>
      </c>
      <c r="J101" s="93">
        <v>44636.418749999997</v>
      </c>
      <c r="K101" s="93">
        <v>44636.333333333336</v>
      </c>
    </row>
    <row r="102" spans="1:11" x14ac:dyDescent="0.25">
      <c r="A102" s="69">
        <v>67</v>
      </c>
      <c r="B102" s="89" t="s">
        <v>171</v>
      </c>
      <c r="C102" s="90" t="s">
        <v>107</v>
      </c>
      <c r="D102" s="91"/>
      <c r="E102" s="90">
        <v>52566673</v>
      </c>
      <c r="F102" s="90">
        <v>52565645</v>
      </c>
      <c r="G102" s="90" t="s">
        <v>108</v>
      </c>
      <c r="H102" s="92">
        <v>0.10275462962962963</v>
      </c>
      <c r="I102" s="93">
        <v>44636.4</v>
      </c>
      <c r="J102" s="93">
        <v>44636.50277777778</v>
      </c>
      <c r="K102" s="93">
        <v>44636.333333333336</v>
      </c>
    </row>
    <row r="103" spans="1:11" x14ac:dyDescent="0.25">
      <c r="A103" s="70">
        <v>68</v>
      </c>
      <c r="B103" s="89" t="s">
        <v>169</v>
      </c>
      <c r="C103" s="90" t="s">
        <v>107</v>
      </c>
      <c r="D103" s="91"/>
      <c r="E103" s="90">
        <v>52566672</v>
      </c>
      <c r="F103" s="90">
        <v>52565645</v>
      </c>
      <c r="G103" s="90" t="s">
        <v>170</v>
      </c>
      <c r="H103" s="92">
        <v>0</v>
      </c>
      <c r="I103" s="91"/>
      <c r="J103" s="93">
        <v>44636.4</v>
      </c>
      <c r="K103" s="93">
        <v>44636.333333333336</v>
      </c>
    </row>
    <row r="104" spans="1:11" x14ac:dyDescent="0.25">
      <c r="A104" s="69">
        <v>69</v>
      </c>
      <c r="B104" s="89" t="s">
        <v>72</v>
      </c>
      <c r="C104" s="90" t="s">
        <v>107</v>
      </c>
      <c r="D104" s="91"/>
      <c r="E104" s="90">
        <v>52568117</v>
      </c>
      <c r="F104" s="90">
        <v>52565645</v>
      </c>
      <c r="G104" s="90" t="s">
        <v>108</v>
      </c>
      <c r="H104" s="92">
        <v>2.9664351851851855E-2</v>
      </c>
      <c r="I104" s="93">
        <v>44636.4</v>
      </c>
      <c r="J104" s="93">
        <v>44636.429166666669</v>
      </c>
      <c r="K104" s="93">
        <v>44636.333333333336</v>
      </c>
    </row>
    <row r="105" spans="1:11" x14ac:dyDescent="0.25">
      <c r="A105" s="70">
        <v>70</v>
      </c>
      <c r="B105" s="89" t="s">
        <v>172</v>
      </c>
      <c r="C105" s="90" t="s">
        <v>107</v>
      </c>
      <c r="D105" s="91"/>
      <c r="E105" s="90">
        <v>52568125</v>
      </c>
      <c r="F105" s="90">
        <v>52565645</v>
      </c>
      <c r="G105" s="90" t="s">
        <v>108</v>
      </c>
      <c r="H105" s="92">
        <v>4.6296296296296294E-5</v>
      </c>
      <c r="I105" s="93">
        <v>44636.418749999997</v>
      </c>
      <c r="J105" s="93">
        <v>44636.418749999997</v>
      </c>
      <c r="K105" s="93">
        <v>44636.333333333336</v>
      </c>
    </row>
    <row r="106" spans="1:11" x14ac:dyDescent="0.25">
      <c r="A106" s="69">
        <v>71</v>
      </c>
      <c r="B106" s="89" t="s">
        <v>173</v>
      </c>
      <c r="C106" s="90" t="s">
        <v>107</v>
      </c>
      <c r="D106" s="91"/>
      <c r="E106" s="90">
        <v>52568129</v>
      </c>
      <c r="F106" s="90">
        <v>52565645</v>
      </c>
      <c r="G106" s="90" t="s">
        <v>108</v>
      </c>
      <c r="H106" s="92">
        <v>3.8078703703703707E-3</v>
      </c>
      <c r="I106" s="93">
        <v>44636.418749999997</v>
      </c>
      <c r="J106" s="93">
        <v>44636.42291666667</v>
      </c>
      <c r="K106" s="93">
        <v>44636.333333333336</v>
      </c>
    </row>
    <row r="107" spans="1:11" x14ac:dyDescent="0.25">
      <c r="A107" s="70">
        <v>72</v>
      </c>
      <c r="B107" s="89" t="s">
        <v>75</v>
      </c>
      <c r="C107" s="90" t="s">
        <v>107</v>
      </c>
      <c r="D107" s="91"/>
      <c r="E107" s="90">
        <v>52568135</v>
      </c>
      <c r="F107" s="90">
        <v>52565645</v>
      </c>
      <c r="G107" s="90" t="s">
        <v>108</v>
      </c>
      <c r="H107" s="92">
        <v>6.4884259259259267E-2</v>
      </c>
      <c r="I107" s="93">
        <v>44636.405555555553</v>
      </c>
      <c r="J107" s="93">
        <v>44636.470138888886</v>
      </c>
      <c r="K107" s="93">
        <v>44636.333333333336</v>
      </c>
    </row>
    <row r="108" spans="1:11" x14ac:dyDescent="0.25">
      <c r="A108" s="69">
        <v>73</v>
      </c>
      <c r="B108" s="94" t="s">
        <v>174</v>
      </c>
      <c r="C108" s="90" t="s">
        <v>110</v>
      </c>
      <c r="D108" s="90" t="s">
        <v>437</v>
      </c>
      <c r="E108" s="90">
        <v>52568174</v>
      </c>
      <c r="F108" s="90">
        <v>52568135</v>
      </c>
      <c r="G108" s="90" t="s">
        <v>108</v>
      </c>
      <c r="H108" s="92">
        <v>0</v>
      </c>
      <c r="I108" s="93">
        <v>44636.405555555553</v>
      </c>
      <c r="J108" s="93">
        <v>44636.405555555553</v>
      </c>
      <c r="K108" s="93">
        <v>44636.333333333336</v>
      </c>
    </row>
    <row r="109" spans="1:11" x14ac:dyDescent="0.25">
      <c r="A109" s="70">
        <v>74</v>
      </c>
      <c r="B109" s="94" t="s">
        <v>175</v>
      </c>
      <c r="C109" s="90" t="s">
        <v>110</v>
      </c>
      <c r="D109" s="90" t="s">
        <v>437</v>
      </c>
      <c r="E109" s="90">
        <v>52568175</v>
      </c>
      <c r="F109" s="90">
        <v>52568135</v>
      </c>
      <c r="G109" s="90" t="s">
        <v>108</v>
      </c>
      <c r="H109" s="92">
        <v>1.7476851851851852E-3</v>
      </c>
      <c r="I109" s="93">
        <v>44636.405555555553</v>
      </c>
      <c r="J109" s="93">
        <v>44636.406944444447</v>
      </c>
      <c r="K109" s="93">
        <v>44636.333333333336</v>
      </c>
    </row>
    <row r="110" spans="1:11" x14ac:dyDescent="0.25">
      <c r="A110" s="69">
        <v>75</v>
      </c>
      <c r="B110" s="94" t="s">
        <v>176</v>
      </c>
      <c r="C110" s="90" t="s">
        <v>107</v>
      </c>
      <c r="D110" s="91"/>
      <c r="E110" s="90">
        <v>52568136</v>
      </c>
      <c r="F110" s="90">
        <v>52568135</v>
      </c>
      <c r="G110" s="90" t="s">
        <v>108</v>
      </c>
      <c r="H110" s="92">
        <v>6.4872685185185186E-2</v>
      </c>
      <c r="I110" s="93">
        <v>44636.405555555553</v>
      </c>
      <c r="J110" s="93">
        <v>44636.470138888886</v>
      </c>
      <c r="K110" s="93">
        <v>44636.333333333336</v>
      </c>
    </row>
    <row r="111" spans="1:11" x14ac:dyDescent="0.25">
      <c r="A111" s="70">
        <v>76</v>
      </c>
      <c r="B111" s="95" t="s">
        <v>189</v>
      </c>
      <c r="C111" s="90" t="s">
        <v>110</v>
      </c>
      <c r="D111" s="91"/>
      <c r="E111" s="90">
        <v>52568160</v>
      </c>
      <c r="F111" s="90">
        <v>52568136</v>
      </c>
      <c r="G111" s="90" t="s">
        <v>111</v>
      </c>
      <c r="H111" s="92">
        <v>0</v>
      </c>
      <c r="I111" s="91"/>
      <c r="J111" s="93">
        <v>44636.333333333336</v>
      </c>
      <c r="K111" s="93">
        <v>44636.333333333336</v>
      </c>
    </row>
    <row r="112" spans="1:11" x14ac:dyDescent="0.25">
      <c r="A112" s="69">
        <v>77</v>
      </c>
      <c r="B112" s="95" t="s">
        <v>188</v>
      </c>
      <c r="C112" s="90" t="s">
        <v>110</v>
      </c>
      <c r="D112" s="91"/>
      <c r="E112" s="90">
        <v>52568161</v>
      </c>
      <c r="F112" s="90">
        <v>52568136</v>
      </c>
      <c r="G112" s="90" t="s">
        <v>111</v>
      </c>
      <c r="H112" s="92">
        <v>0</v>
      </c>
      <c r="I112" s="91"/>
      <c r="J112" s="93">
        <v>44636.333333333336</v>
      </c>
      <c r="K112" s="93">
        <v>44636.333333333336</v>
      </c>
    </row>
    <row r="113" spans="1:11" x14ac:dyDescent="0.25">
      <c r="A113" s="70">
        <v>78</v>
      </c>
      <c r="B113" s="95" t="s">
        <v>184</v>
      </c>
      <c r="C113" s="90" t="s">
        <v>110</v>
      </c>
      <c r="D113" s="91"/>
      <c r="E113" s="90">
        <v>52568164</v>
      </c>
      <c r="F113" s="90">
        <v>52568136</v>
      </c>
      <c r="G113" s="90" t="s">
        <v>111</v>
      </c>
      <c r="H113" s="92">
        <v>0</v>
      </c>
      <c r="I113" s="91"/>
      <c r="J113" s="93">
        <v>44636.333333333336</v>
      </c>
      <c r="K113" s="93">
        <v>44636.333333333336</v>
      </c>
    </row>
    <row r="114" spans="1:11" x14ac:dyDescent="0.25">
      <c r="A114" s="69">
        <v>79</v>
      </c>
      <c r="B114" s="95" t="s">
        <v>186</v>
      </c>
      <c r="C114" s="90" t="s">
        <v>110</v>
      </c>
      <c r="D114" s="90" t="s">
        <v>436</v>
      </c>
      <c r="E114" s="90">
        <v>52568162</v>
      </c>
      <c r="F114" s="90">
        <v>52568136</v>
      </c>
      <c r="G114" s="90" t="s">
        <v>187</v>
      </c>
      <c r="H114" s="92">
        <v>0</v>
      </c>
      <c r="I114" s="91"/>
      <c r="J114" s="93">
        <v>44636.454861111109</v>
      </c>
      <c r="K114" s="93">
        <v>44636.333333333336</v>
      </c>
    </row>
    <row r="115" spans="1:11" x14ac:dyDescent="0.25">
      <c r="A115" s="70">
        <v>80</v>
      </c>
      <c r="B115" s="95" t="s">
        <v>183</v>
      </c>
      <c r="C115" s="90" t="s">
        <v>110</v>
      </c>
      <c r="D115" s="91"/>
      <c r="E115" s="90">
        <v>52568165</v>
      </c>
      <c r="F115" s="90">
        <v>52568136</v>
      </c>
      <c r="G115" s="90" t="s">
        <v>111</v>
      </c>
      <c r="H115" s="92">
        <v>0</v>
      </c>
      <c r="I115" s="91"/>
      <c r="J115" s="93">
        <v>44636.333333333336</v>
      </c>
      <c r="K115" s="93">
        <v>44636.333333333336</v>
      </c>
    </row>
    <row r="116" spans="1:11" x14ac:dyDescent="0.25">
      <c r="A116" s="69">
        <v>81</v>
      </c>
      <c r="B116" s="95" t="s">
        <v>182</v>
      </c>
      <c r="C116" s="90" t="s">
        <v>107</v>
      </c>
      <c r="D116" s="91"/>
      <c r="E116" s="90">
        <v>52568166</v>
      </c>
      <c r="F116" s="90">
        <v>52568136</v>
      </c>
      <c r="G116" s="90" t="s">
        <v>111</v>
      </c>
      <c r="H116" s="92">
        <v>0</v>
      </c>
      <c r="I116" s="91"/>
      <c r="J116" s="93">
        <v>44636.333333333336</v>
      </c>
      <c r="K116" s="93">
        <v>44636.333333333336</v>
      </c>
    </row>
    <row r="117" spans="1:11" x14ac:dyDescent="0.25">
      <c r="A117" s="70">
        <v>82</v>
      </c>
      <c r="B117" s="95" t="s">
        <v>185</v>
      </c>
      <c r="C117" s="90" t="s">
        <v>110</v>
      </c>
      <c r="D117" s="91"/>
      <c r="E117" s="90">
        <v>52568163</v>
      </c>
      <c r="F117" s="90">
        <v>52568136</v>
      </c>
      <c r="G117" s="90" t="s">
        <v>111</v>
      </c>
      <c r="H117" s="92">
        <v>0</v>
      </c>
      <c r="I117" s="91"/>
      <c r="J117" s="93">
        <v>44636.333333333336</v>
      </c>
      <c r="K117" s="93">
        <v>44636.333333333336</v>
      </c>
    </row>
    <row r="118" spans="1:11" x14ac:dyDescent="0.25">
      <c r="A118" s="69">
        <v>83</v>
      </c>
      <c r="B118" s="95" t="s">
        <v>129</v>
      </c>
      <c r="C118" s="90" t="s">
        <v>110</v>
      </c>
      <c r="D118" s="90" t="s">
        <v>437</v>
      </c>
      <c r="E118" s="90">
        <v>52568173</v>
      </c>
      <c r="F118" s="90">
        <v>52568136</v>
      </c>
      <c r="G118" s="90" t="s">
        <v>108</v>
      </c>
      <c r="H118" s="92">
        <v>0</v>
      </c>
      <c r="I118" s="93">
        <v>44636.470138888886</v>
      </c>
      <c r="J118" s="93">
        <v>44636.470138888886</v>
      </c>
      <c r="K118" s="93">
        <v>44636.333333333336</v>
      </c>
    </row>
    <row r="119" spans="1:11" x14ac:dyDescent="0.25">
      <c r="A119" s="70">
        <v>84</v>
      </c>
      <c r="B119" s="95" t="s">
        <v>76</v>
      </c>
      <c r="C119" s="90" t="s">
        <v>110</v>
      </c>
      <c r="D119" s="90" t="s">
        <v>437</v>
      </c>
      <c r="E119" s="90">
        <v>52568171</v>
      </c>
      <c r="F119" s="90">
        <v>52568136</v>
      </c>
      <c r="G119" s="90" t="s">
        <v>108</v>
      </c>
      <c r="H119" s="92">
        <v>7.6388888888888893E-4</v>
      </c>
      <c r="I119" s="93">
        <v>44636.469444444447</v>
      </c>
      <c r="J119" s="93">
        <v>44636.470138888886</v>
      </c>
      <c r="K119" s="93">
        <v>44636.333333333336</v>
      </c>
    </row>
    <row r="120" spans="1:11" x14ac:dyDescent="0.25">
      <c r="A120" s="69">
        <v>85</v>
      </c>
      <c r="B120" s="95" t="s">
        <v>177</v>
      </c>
      <c r="C120" s="90" t="s">
        <v>110</v>
      </c>
      <c r="D120" s="90" t="s">
        <v>436</v>
      </c>
      <c r="E120" s="90">
        <v>52568170</v>
      </c>
      <c r="F120" s="90">
        <v>52568136</v>
      </c>
      <c r="G120" s="90" t="s">
        <v>108</v>
      </c>
      <c r="H120" s="92">
        <v>3.4722222222222224E-4</v>
      </c>
      <c r="I120" s="93">
        <v>44636.469444444447</v>
      </c>
      <c r="J120" s="93">
        <v>44636.469444444447</v>
      </c>
      <c r="K120" s="93">
        <v>44636.333333333336</v>
      </c>
    </row>
    <row r="121" spans="1:11" x14ac:dyDescent="0.25">
      <c r="A121" s="70">
        <v>86</v>
      </c>
      <c r="B121" s="95" t="s">
        <v>178</v>
      </c>
      <c r="C121" s="90" t="s">
        <v>110</v>
      </c>
      <c r="D121" s="90" t="s">
        <v>436</v>
      </c>
      <c r="E121" s="90">
        <v>52568169</v>
      </c>
      <c r="F121" s="90">
        <v>52568136</v>
      </c>
      <c r="G121" s="90" t="s">
        <v>108</v>
      </c>
      <c r="H121" s="92">
        <v>9.3749999999999997E-3</v>
      </c>
      <c r="I121" s="93">
        <v>44636.459722222222</v>
      </c>
      <c r="J121" s="93">
        <v>44636.469444444447</v>
      </c>
      <c r="K121" s="93">
        <v>44636.333333333336</v>
      </c>
    </row>
    <row r="122" spans="1:11" x14ac:dyDescent="0.25">
      <c r="A122" s="69">
        <v>87</v>
      </c>
      <c r="B122" s="95" t="s">
        <v>179</v>
      </c>
      <c r="C122" s="90" t="s">
        <v>110</v>
      </c>
      <c r="D122" s="90" t="s">
        <v>436</v>
      </c>
      <c r="E122" s="90">
        <v>52568168</v>
      </c>
      <c r="F122" s="90">
        <v>52568136</v>
      </c>
      <c r="G122" s="90" t="s">
        <v>108</v>
      </c>
      <c r="H122" s="92">
        <v>3.5879629629629635E-4</v>
      </c>
      <c r="I122" s="93">
        <v>44636.459722222222</v>
      </c>
      <c r="J122" s="93">
        <v>44636.460416666669</v>
      </c>
      <c r="K122" s="93">
        <v>44636.333333333336</v>
      </c>
    </row>
    <row r="123" spans="1:11" x14ac:dyDescent="0.25">
      <c r="A123" s="70">
        <v>88</v>
      </c>
      <c r="B123" s="95" t="s">
        <v>191</v>
      </c>
      <c r="C123" s="90" t="s">
        <v>110</v>
      </c>
      <c r="D123" s="90" t="s">
        <v>436</v>
      </c>
      <c r="E123" s="90">
        <v>52568167</v>
      </c>
      <c r="F123" s="90">
        <v>52568136</v>
      </c>
      <c r="G123" s="90" t="s">
        <v>108</v>
      </c>
      <c r="H123" s="92">
        <v>4.8611111111111112E-3</v>
      </c>
      <c r="I123" s="93">
        <v>44636.454861111109</v>
      </c>
      <c r="J123" s="93">
        <v>44636.459722222222</v>
      </c>
      <c r="K123" s="93">
        <v>44636.333333333336</v>
      </c>
    </row>
    <row r="124" spans="1:11" x14ac:dyDescent="0.25">
      <c r="A124" s="69">
        <v>89</v>
      </c>
      <c r="B124" s="95" t="s">
        <v>180</v>
      </c>
      <c r="C124" s="90" t="s">
        <v>110</v>
      </c>
      <c r="D124" s="90" t="s">
        <v>436</v>
      </c>
      <c r="E124" s="90">
        <v>52568172</v>
      </c>
      <c r="F124" s="90">
        <v>52568136</v>
      </c>
      <c r="G124" s="90" t="s">
        <v>108</v>
      </c>
      <c r="H124" s="92">
        <v>1.3888888888888889E-3</v>
      </c>
      <c r="I124" s="93">
        <v>44636.454861111109</v>
      </c>
      <c r="J124" s="93">
        <v>44636.456250000003</v>
      </c>
      <c r="K124" s="93">
        <v>44636.333333333336</v>
      </c>
    </row>
    <row r="125" spans="1:11" x14ac:dyDescent="0.25">
      <c r="A125" s="70">
        <v>90</v>
      </c>
      <c r="B125" s="95" t="s">
        <v>181</v>
      </c>
      <c r="C125" s="90" t="s">
        <v>110</v>
      </c>
      <c r="D125" s="91"/>
      <c r="E125" s="90">
        <v>52568155</v>
      </c>
      <c r="F125" s="90">
        <v>52568136</v>
      </c>
      <c r="G125" s="90" t="s">
        <v>111</v>
      </c>
      <c r="H125" s="92">
        <v>0</v>
      </c>
      <c r="I125" s="91"/>
      <c r="J125" s="93">
        <v>44636.333333333336</v>
      </c>
      <c r="K125" s="93">
        <v>44636.333333333336</v>
      </c>
    </row>
    <row r="126" spans="1:11" x14ac:dyDescent="0.25">
      <c r="A126" s="69">
        <v>91</v>
      </c>
      <c r="B126" s="95" t="s">
        <v>202</v>
      </c>
      <c r="C126" s="90" t="s">
        <v>107</v>
      </c>
      <c r="D126" s="91"/>
      <c r="E126" s="90">
        <v>52568144</v>
      </c>
      <c r="F126" s="90">
        <v>52568136</v>
      </c>
      <c r="G126" s="90" t="s">
        <v>111</v>
      </c>
      <c r="H126" s="92">
        <v>0</v>
      </c>
      <c r="I126" s="91"/>
      <c r="J126" s="93">
        <v>44636.333333333336</v>
      </c>
      <c r="K126" s="93">
        <v>44636.333333333336</v>
      </c>
    </row>
    <row r="127" spans="1:11" x14ac:dyDescent="0.25">
      <c r="A127" s="70">
        <v>92</v>
      </c>
      <c r="B127" s="95" t="s">
        <v>190</v>
      </c>
      <c r="C127" s="90" t="s">
        <v>110</v>
      </c>
      <c r="D127" s="91"/>
      <c r="E127" s="90">
        <v>52568151</v>
      </c>
      <c r="F127" s="90">
        <v>52568136</v>
      </c>
      <c r="G127" s="90" t="s">
        <v>111</v>
      </c>
      <c r="H127" s="92">
        <v>0</v>
      </c>
      <c r="I127" s="91"/>
      <c r="J127" s="93">
        <v>44636.333333333336</v>
      </c>
      <c r="K127" s="93">
        <v>44636.333333333336</v>
      </c>
    </row>
    <row r="128" spans="1:11" x14ac:dyDescent="0.25">
      <c r="A128" s="69">
        <v>93</v>
      </c>
      <c r="B128" s="95" t="s">
        <v>192</v>
      </c>
      <c r="C128" s="90" t="s">
        <v>107</v>
      </c>
      <c r="D128" s="91"/>
      <c r="E128" s="90">
        <v>52568157</v>
      </c>
      <c r="F128" s="90">
        <v>52568136</v>
      </c>
      <c r="G128" s="90" t="s">
        <v>108</v>
      </c>
      <c r="H128" s="92">
        <v>4.1898148148148146E-3</v>
      </c>
      <c r="I128" s="93">
        <v>44636.450694444444</v>
      </c>
      <c r="J128" s="93">
        <v>44636.454861111109</v>
      </c>
      <c r="K128" s="93">
        <v>44636.333333333336</v>
      </c>
    </row>
    <row r="129" spans="1:11" x14ac:dyDescent="0.25">
      <c r="A129" s="70">
        <v>94</v>
      </c>
      <c r="B129" s="95" t="s">
        <v>193</v>
      </c>
      <c r="C129" s="90" t="s">
        <v>110</v>
      </c>
      <c r="D129" s="90" t="s">
        <v>436</v>
      </c>
      <c r="E129" s="90">
        <v>52568156</v>
      </c>
      <c r="F129" s="90">
        <v>52568136</v>
      </c>
      <c r="G129" s="90" t="s">
        <v>108</v>
      </c>
      <c r="H129" s="92">
        <v>1.0416666666666667E-3</v>
      </c>
      <c r="I129" s="93">
        <v>44636.45</v>
      </c>
      <c r="J129" s="93">
        <v>44636.450694444444</v>
      </c>
      <c r="K129" s="93">
        <v>44636.333333333336</v>
      </c>
    </row>
    <row r="130" spans="1:11" x14ac:dyDescent="0.25">
      <c r="A130" s="69">
        <v>95</v>
      </c>
      <c r="B130" s="95" t="s">
        <v>194</v>
      </c>
      <c r="C130" s="90" t="s">
        <v>110</v>
      </c>
      <c r="D130" s="90" t="s">
        <v>437</v>
      </c>
      <c r="E130" s="90">
        <v>52568154</v>
      </c>
      <c r="F130" s="90">
        <v>52568136</v>
      </c>
      <c r="G130" s="90" t="s">
        <v>108</v>
      </c>
      <c r="H130" s="92">
        <v>6.9444444444444444E-5</v>
      </c>
      <c r="I130" s="93">
        <v>44636.449305555558</v>
      </c>
      <c r="J130" s="93">
        <v>44636.45</v>
      </c>
      <c r="K130" s="93">
        <v>44636.333333333336</v>
      </c>
    </row>
    <row r="131" spans="1:11" x14ac:dyDescent="0.25">
      <c r="A131" s="70">
        <v>96</v>
      </c>
      <c r="B131" s="95" t="s">
        <v>195</v>
      </c>
      <c r="C131" s="90" t="s">
        <v>110</v>
      </c>
      <c r="D131" s="90" t="s">
        <v>436</v>
      </c>
      <c r="E131" s="90">
        <v>52568153</v>
      </c>
      <c r="F131" s="90">
        <v>52568136</v>
      </c>
      <c r="G131" s="90" t="s">
        <v>108</v>
      </c>
      <c r="H131" s="92">
        <v>6.9444444444444447E-4</v>
      </c>
      <c r="I131" s="93">
        <v>44636.448611111111</v>
      </c>
      <c r="J131" s="93">
        <v>44636.449305555558</v>
      </c>
      <c r="K131" s="93">
        <v>44636.333333333336</v>
      </c>
    </row>
    <row r="132" spans="1:11" x14ac:dyDescent="0.25">
      <c r="A132" s="69">
        <v>97</v>
      </c>
      <c r="B132" s="95" t="s">
        <v>196</v>
      </c>
      <c r="C132" s="90" t="s">
        <v>110</v>
      </c>
      <c r="D132" s="90" t="s">
        <v>436</v>
      </c>
      <c r="E132" s="90">
        <v>52568152</v>
      </c>
      <c r="F132" s="90">
        <v>52568136</v>
      </c>
      <c r="G132" s="90" t="s">
        <v>108</v>
      </c>
      <c r="H132" s="92">
        <v>2.0486111111111111E-2</v>
      </c>
      <c r="I132" s="93">
        <v>44636.428472222222</v>
      </c>
      <c r="J132" s="93">
        <v>44636.448611111111</v>
      </c>
      <c r="K132" s="93">
        <v>44636.333333333336</v>
      </c>
    </row>
    <row r="133" spans="1:11" x14ac:dyDescent="0.25">
      <c r="A133" s="70">
        <v>98</v>
      </c>
      <c r="B133" s="95" t="s">
        <v>197</v>
      </c>
      <c r="C133" s="90" t="s">
        <v>110</v>
      </c>
      <c r="D133" s="90" t="s">
        <v>436</v>
      </c>
      <c r="E133" s="90">
        <v>52568150</v>
      </c>
      <c r="F133" s="90">
        <v>52568136</v>
      </c>
      <c r="G133" s="90" t="s">
        <v>108</v>
      </c>
      <c r="H133" s="92">
        <v>6.9444444444444447E-4</v>
      </c>
      <c r="I133" s="93">
        <v>44636.427777777775</v>
      </c>
      <c r="J133" s="93">
        <v>44636.428472222222</v>
      </c>
      <c r="K133" s="93">
        <v>44636.333333333336</v>
      </c>
    </row>
    <row r="134" spans="1:11" x14ac:dyDescent="0.25">
      <c r="A134" s="69">
        <v>99</v>
      </c>
      <c r="B134" s="95" t="s">
        <v>198</v>
      </c>
      <c r="C134" s="90" t="s">
        <v>110</v>
      </c>
      <c r="D134" s="90" t="s">
        <v>436</v>
      </c>
      <c r="E134" s="90">
        <v>52568149</v>
      </c>
      <c r="F134" s="90">
        <v>52568136</v>
      </c>
      <c r="G134" s="90" t="s">
        <v>108</v>
      </c>
      <c r="H134" s="92">
        <v>2.0833333333333333E-3</v>
      </c>
      <c r="I134" s="93">
        <v>44636.425694444442</v>
      </c>
      <c r="J134" s="93">
        <v>44636.427777777775</v>
      </c>
      <c r="K134" s="93">
        <v>44636.333333333336</v>
      </c>
    </row>
    <row r="135" spans="1:11" x14ac:dyDescent="0.25">
      <c r="A135" s="70">
        <v>100</v>
      </c>
      <c r="B135" s="95" t="s">
        <v>199</v>
      </c>
      <c r="C135" s="90" t="s">
        <v>110</v>
      </c>
      <c r="D135" s="90" t="s">
        <v>436</v>
      </c>
      <c r="E135" s="90">
        <v>52568148</v>
      </c>
      <c r="F135" s="90">
        <v>52568136</v>
      </c>
      <c r="G135" s="90" t="s">
        <v>108</v>
      </c>
      <c r="H135" s="92">
        <v>4.8611111111111112E-3</v>
      </c>
      <c r="I135" s="93">
        <v>44636.42083333333</v>
      </c>
      <c r="J135" s="93">
        <v>44636.425694444442</v>
      </c>
      <c r="K135" s="93">
        <v>44636.333333333336</v>
      </c>
    </row>
    <row r="136" spans="1:11" x14ac:dyDescent="0.25">
      <c r="A136" s="69">
        <v>101</v>
      </c>
      <c r="B136" s="95" t="s">
        <v>200</v>
      </c>
      <c r="C136" s="90" t="s">
        <v>110</v>
      </c>
      <c r="D136" s="90" t="s">
        <v>437</v>
      </c>
      <c r="E136" s="90">
        <v>52568147</v>
      </c>
      <c r="F136" s="90">
        <v>52568136</v>
      </c>
      <c r="G136" s="90" t="s">
        <v>108</v>
      </c>
      <c r="H136" s="92">
        <v>1.5046296296296297E-4</v>
      </c>
      <c r="I136" s="93">
        <v>44636.42083333333</v>
      </c>
      <c r="J136" s="93">
        <v>44636.42083333333</v>
      </c>
      <c r="K136" s="93">
        <v>44636.333333333336</v>
      </c>
    </row>
    <row r="137" spans="1:11" x14ac:dyDescent="0.25">
      <c r="A137" s="70">
        <v>102</v>
      </c>
      <c r="B137" s="95" t="s">
        <v>201</v>
      </c>
      <c r="C137" s="90" t="s">
        <v>110</v>
      </c>
      <c r="D137" s="90" t="s">
        <v>437</v>
      </c>
      <c r="E137" s="90">
        <v>52568146</v>
      </c>
      <c r="F137" s="90">
        <v>52568136</v>
      </c>
      <c r="G137" s="90" t="s">
        <v>108</v>
      </c>
      <c r="H137" s="92">
        <v>6.3657407407407402E-4</v>
      </c>
      <c r="I137" s="93">
        <v>44636.420138888891</v>
      </c>
      <c r="J137" s="93">
        <v>44636.42083333333</v>
      </c>
      <c r="K137" s="93">
        <v>44636.333333333336</v>
      </c>
    </row>
    <row r="138" spans="1:11" x14ac:dyDescent="0.25">
      <c r="A138" s="69">
        <v>103</v>
      </c>
      <c r="B138" s="95" t="s">
        <v>203</v>
      </c>
      <c r="C138" s="90" t="s">
        <v>110</v>
      </c>
      <c r="D138" s="90" t="s">
        <v>436</v>
      </c>
      <c r="E138" s="90">
        <v>52568145</v>
      </c>
      <c r="F138" s="90">
        <v>52568136</v>
      </c>
      <c r="G138" s="90" t="s">
        <v>108</v>
      </c>
      <c r="H138" s="92">
        <v>3.8310185185185183E-3</v>
      </c>
      <c r="I138" s="93">
        <v>44636.415972222225</v>
      </c>
      <c r="J138" s="93">
        <v>44636.420138888891</v>
      </c>
      <c r="K138" s="93">
        <v>44636.333333333336</v>
      </c>
    </row>
    <row r="139" spans="1:11" x14ac:dyDescent="0.25">
      <c r="A139" s="70">
        <v>104</v>
      </c>
      <c r="B139" s="95" t="s">
        <v>204</v>
      </c>
      <c r="C139" s="90" t="s">
        <v>110</v>
      </c>
      <c r="D139" s="90" t="s">
        <v>436</v>
      </c>
      <c r="E139" s="90">
        <v>52568143</v>
      </c>
      <c r="F139" s="90">
        <v>52568136</v>
      </c>
      <c r="G139" s="90" t="s">
        <v>108</v>
      </c>
      <c r="H139" s="92">
        <v>3.4722222222222224E-4</v>
      </c>
      <c r="I139" s="93">
        <v>44636.415972222225</v>
      </c>
      <c r="J139" s="93">
        <v>44636.415972222225</v>
      </c>
      <c r="K139" s="93">
        <v>44636.333333333336</v>
      </c>
    </row>
    <row r="140" spans="1:11" x14ac:dyDescent="0.25">
      <c r="A140" s="69">
        <v>105</v>
      </c>
      <c r="B140" s="95" t="s">
        <v>205</v>
      </c>
      <c r="C140" s="90" t="s">
        <v>110</v>
      </c>
      <c r="D140" s="90" t="s">
        <v>437</v>
      </c>
      <c r="E140" s="90">
        <v>52568142</v>
      </c>
      <c r="F140" s="90">
        <v>52568136</v>
      </c>
      <c r="G140" s="90" t="s">
        <v>108</v>
      </c>
      <c r="H140" s="92">
        <v>8.0787037037037043E-3</v>
      </c>
      <c r="I140" s="93">
        <v>44636.407638888886</v>
      </c>
      <c r="J140" s="93">
        <v>44636.415972222225</v>
      </c>
      <c r="K140" s="93">
        <v>44636.333333333336</v>
      </c>
    </row>
    <row r="141" spans="1:11" x14ac:dyDescent="0.25">
      <c r="A141" s="70">
        <v>106</v>
      </c>
      <c r="B141" s="95" t="s">
        <v>206</v>
      </c>
      <c r="C141" s="90" t="s">
        <v>110</v>
      </c>
      <c r="D141" s="90" t="s">
        <v>436</v>
      </c>
      <c r="E141" s="90">
        <v>52568141</v>
      </c>
      <c r="F141" s="90">
        <v>52568136</v>
      </c>
      <c r="G141" s="90" t="s">
        <v>108</v>
      </c>
      <c r="H141" s="92">
        <v>3.4722222222222224E-4</v>
      </c>
      <c r="I141" s="93">
        <v>44636.406944444447</v>
      </c>
      <c r="J141" s="93">
        <v>44636.407638888886</v>
      </c>
      <c r="K141" s="93">
        <v>44636.333333333336</v>
      </c>
    </row>
    <row r="142" spans="1:11" x14ac:dyDescent="0.25">
      <c r="A142" s="69">
        <v>107</v>
      </c>
      <c r="B142" s="95" t="s">
        <v>207</v>
      </c>
      <c r="C142" s="90" t="s">
        <v>110</v>
      </c>
      <c r="D142" s="90" t="s">
        <v>436</v>
      </c>
      <c r="E142" s="90">
        <v>52568140</v>
      </c>
      <c r="F142" s="90">
        <v>52568136</v>
      </c>
      <c r="G142" s="90" t="s">
        <v>108</v>
      </c>
      <c r="H142" s="92">
        <v>1.736111111111111E-3</v>
      </c>
      <c r="I142" s="93">
        <v>44636.405555555553</v>
      </c>
      <c r="J142" s="93">
        <v>44636.406944444447</v>
      </c>
      <c r="K142" s="93">
        <v>44636.333333333336</v>
      </c>
    </row>
    <row r="143" spans="1:11" x14ac:dyDescent="0.25">
      <c r="A143" s="70">
        <v>108</v>
      </c>
      <c r="B143" s="95" t="s">
        <v>208</v>
      </c>
      <c r="C143" s="90" t="s">
        <v>110</v>
      </c>
      <c r="D143" s="90" t="s">
        <v>437</v>
      </c>
      <c r="E143" s="90">
        <v>52568139</v>
      </c>
      <c r="F143" s="90">
        <v>52568136</v>
      </c>
      <c r="G143" s="90" t="s">
        <v>108</v>
      </c>
      <c r="H143" s="92">
        <v>1.0416666666666667E-4</v>
      </c>
      <c r="I143" s="93">
        <v>44636.405555555553</v>
      </c>
      <c r="J143" s="93">
        <v>44636.405555555553</v>
      </c>
      <c r="K143" s="93">
        <v>44636.333333333336</v>
      </c>
    </row>
    <row r="144" spans="1:11" x14ac:dyDescent="0.25">
      <c r="A144" s="69">
        <v>109</v>
      </c>
      <c r="B144" s="95" t="s">
        <v>209</v>
      </c>
      <c r="C144" s="90" t="s">
        <v>110</v>
      </c>
      <c r="D144" s="90" t="s">
        <v>437</v>
      </c>
      <c r="E144" s="90">
        <v>52568138</v>
      </c>
      <c r="F144" s="90">
        <v>52568136</v>
      </c>
      <c r="G144" s="90" t="s">
        <v>108</v>
      </c>
      <c r="H144" s="92">
        <v>0</v>
      </c>
      <c r="I144" s="93">
        <v>44636.405555555553</v>
      </c>
      <c r="J144" s="93">
        <v>44636.405555555553</v>
      </c>
      <c r="K144" s="93">
        <v>44636.333333333336</v>
      </c>
    </row>
    <row r="145" spans="1:11" x14ac:dyDescent="0.25">
      <c r="A145" s="70">
        <v>110</v>
      </c>
      <c r="B145" s="95" t="s">
        <v>129</v>
      </c>
      <c r="C145" s="90" t="s">
        <v>110</v>
      </c>
      <c r="D145" s="90" t="s">
        <v>437</v>
      </c>
      <c r="E145" s="90">
        <v>52568137</v>
      </c>
      <c r="F145" s="90">
        <v>52568136</v>
      </c>
      <c r="G145" s="90" t="s">
        <v>108</v>
      </c>
      <c r="H145" s="92">
        <v>1.1574074074074073E-5</v>
      </c>
      <c r="I145" s="93">
        <v>44636.405555555553</v>
      </c>
      <c r="J145" s="93">
        <v>44636.405555555553</v>
      </c>
      <c r="K145" s="93">
        <v>44636.333333333336</v>
      </c>
    </row>
    <row r="146" spans="1:11" x14ac:dyDescent="0.25">
      <c r="A146" s="69">
        <v>111</v>
      </c>
      <c r="B146" s="89" t="s">
        <v>77</v>
      </c>
      <c r="C146" s="90" t="s">
        <v>107</v>
      </c>
      <c r="D146" s="91"/>
      <c r="E146" s="90">
        <v>52568176</v>
      </c>
      <c r="F146" s="90">
        <v>52565645</v>
      </c>
      <c r="G146" s="90" t="s">
        <v>108</v>
      </c>
      <c r="H146" s="92">
        <v>0.1436574074074074</v>
      </c>
      <c r="I146" s="93">
        <v>44636.429166666669</v>
      </c>
      <c r="J146" s="93">
        <v>44636.572916666664</v>
      </c>
      <c r="K146" s="93">
        <v>44636.333333333336</v>
      </c>
    </row>
    <row r="147" spans="1:11" x14ac:dyDescent="0.25">
      <c r="A147" s="70">
        <v>112</v>
      </c>
      <c r="B147" s="94" t="s">
        <v>212</v>
      </c>
      <c r="C147" s="90" t="s">
        <v>110</v>
      </c>
      <c r="D147" s="91"/>
      <c r="E147" s="90">
        <v>52568201</v>
      </c>
      <c r="F147" s="90">
        <v>52568176</v>
      </c>
      <c r="G147" s="90" t="s">
        <v>111</v>
      </c>
      <c r="H147" s="92">
        <v>0</v>
      </c>
      <c r="I147" s="91"/>
      <c r="J147" s="93">
        <v>44636.333333333336</v>
      </c>
      <c r="K147" s="93">
        <v>44636.333333333336</v>
      </c>
    </row>
    <row r="148" spans="1:11" x14ac:dyDescent="0.25">
      <c r="A148" s="69">
        <v>113</v>
      </c>
      <c r="B148" s="94" t="s">
        <v>210</v>
      </c>
      <c r="C148" s="90" t="s">
        <v>110</v>
      </c>
      <c r="D148" s="91"/>
      <c r="E148" s="90">
        <v>52568199</v>
      </c>
      <c r="F148" s="90">
        <v>52568176</v>
      </c>
      <c r="G148" s="90" t="s">
        <v>111</v>
      </c>
      <c r="H148" s="92">
        <v>0</v>
      </c>
      <c r="I148" s="91"/>
      <c r="J148" s="93">
        <v>44636.333333333336</v>
      </c>
      <c r="K148" s="93">
        <v>44636.333333333336</v>
      </c>
    </row>
    <row r="149" spans="1:11" x14ac:dyDescent="0.25">
      <c r="A149" s="70">
        <v>114</v>
      </c>
      <c r="B149" s="94" t="s">
        <v>211</v>
      </c>
      <c r="C149" s="90" t="s">
        <v>110</v>
      </c>
      <c r="D149" s="91"/>
      <c r="E149" s="90">
        <v>52568206</v>
      </c>
      <c r="F149" s="90">
        <v>52568176</v>
      </c>
      <c r="G149" s="90" t="s">
        <v>111</v>
      </c>
      <c r="H149" s="92">
        <v>0</v>
      </c>
      <c r="I149" s="91"/>
      <c r="J149" s="93">
        <v>44636.333333333336</v>
      </c>
      <c r="K149" s="93">
        <v>44636.333333333336</v>
      </c>
    </row>
    <row r="150" spans="1:11" x14ac:dyDescent="0.25">
      <c r="A150" s="69">
        <v>115</v>
      </c>
      <c r="B150" s="94" t="s">
        <v>213</v>
      </c>
      <c r="C150" s="90" t="s">
        <v>110</v>
      </c>
      <c r="D150" s="91"/>
      <c r="E150" s="90">
        <v>52568198</v>
      </c>
      <c r="F150" s="90">
        <v>52568176</v>
      </c>
      <c r="G150" s="90" t="s">
        <v>111</v>
      </c>
      <c r="H150" s="92">
        <v>0</v>
      </c>
      <c r="I150" s="91"/>
      <c r="J150" s="93">
        <v>44636.333333333336</v>
      </c>
      <c r="K150" s="93">
        <v>44636.333333333336</v>
      </c>
    </row>
    <row r="151" spans="1:11" x14ac:dyDescent="0.25">
      <c r="A151" s="70">
        <v>116</v>
      </c>
      <c r="B151" s="94" t="s">
        <v>232</v>
      </c>
      <c r="C151" s="90" t="s">
        <v>110</v>
      </c>
      <c r="D151" s="91"/>
      <c r="E151" s="90">
        <v>52568182</v>
      </c>
      <c r="F151" s="90">
        <v>52568176</v>
      </c>
      <c r="G151" s="90" t="s">
        <v>111</v>
      </c>
      <c r="H151" s="92">
        <v>0</v>
      </c>
      <c r="I151" s="91"/>
      <c r="J151" s="93">
        <v>44636.333333333336</v>
      </c>
      <c r="K151" s="93">
        <v>44636.333333333336</v>
      </c>
    </row>
    <row r="152" spans="1:11" x14ac:dyDescent="0.25">
      <c r="A152" s="69">
        <v>117</v>
      </c>
      <c r="B152" s="94" t="s">
        <v>230</v>
      </c>
      <c r="C152" s="90" t="s">
        <v>110</v>
      </c>
      <c r="D152" s="91"/>
      <c r="E152" s="90">
        <v>52568183</v>
      </c>
      <c r="F152" s="90">
        <v>52568176</v>
      </c>
      <c r="G152" s="90" t="s">
        <v>111</v>
      </c>
      <c r="H152" s="92">
        <v>0</v>
      </c>
      <c r="I152" s="91"/>
      <c r="J152" s="93">
        <v>44636.333333333336</v>
      </c>
      <c r="K152" s="93">
        <v>44636.333333333336</v>
      </c>
    </row>
    <row r="153" spans="1:11" x14ac:dyDescent="0.25">
      <c r="A153" s="70">
        <v>118</v>
      </c>
      <c r="B153" s="94" t="s">
        <v>231</v>
      </c>
      <c r="C153" s="90" t="s">
        <v>110</v>
      </c>
      <c r="D153" s="91"/>
      <c r="E153" s="90">
        <v>52568184</v>
      </c>
      <c r="F153" s="90">
        <v>52568176</v>
      </c>
      <c r="G153" s="90" t="s">
        <v>111</v>
      </c>
      <c r="H153" s="92">
        <v>0</v>
      </c>
      <c r="I153" s="91"/>
      <c r="J153" s="93">
        <v>44636.333333333336</v>
      </c>
      <c r="K153" s="93">
        <v>44636.333333333336</v>
      </c>
    </row>
    <row r="154" spans="1:11" x14ac:dyDescent="0.25">
      <c r="A154" s="69">
        <v>119</v>
      </c>
      <c r="B154" s="94" t="s">
        <v>214</v>
      </c>
      <c r="C154" s="90" t="s">
        <v>110</v>
      </c>
      <c r="D154" s="90" t="s">
        <v>437</v>
      </c>
      <c r="E154" s="90">
        <v>52568208</v>
      </c>
      <c r="F154" s="90">
        <v>52568176</v>
      </c>
      <c r="G154" s="90" t="s">
        <v>108</v>
      </c>
      <c r="H154" s="92">
        <v>1.1574074074074073E-5</v>
      </c>
      <c r="I154" s="93">
        <v>44636.572916666664</v>
      </c>
      <c r="J154" s="93">
        <v>44636.572916666664</v>
      </c>
      <c r="K154" s="93">
        <v>44636.333333333336</v>
      </c>
    </row>
    <row r="155" spans="1:11" x14ac:dyDescent="0.25">
      <c r="A155" s="70">
        <v>120</v>
      </c>
      <c r="B155" s="94" t="s">
        <v>161</v>
      </c>
      <c r="C155" s="90" t="s">
        <v>110</v>
      </c>
      <c r="D155" s="90" t="s">
        <v>437</v>
      </c>
      <c r="E155" s="90">
        <v>52568207</v>
      </c>
      <c r="F155" s="90">
        <v>52568176</v>
      </c>
      <c r="G155" s="90" t="s">
        <v>108</v>
      </c>
      <c r="H155" s="92">
        <v>1.3657407407407409E-3</v>
      </c>
      <c r="I155" s="93">
        <v>44636.571527777778</v>
      </c>
      <c r="J155" s="93">
        <v>44636.572916666664</v>
      </c>
      <c r="K155" s="93">
        <v>44636.333333333336</v>
      </c>
    </row>
    <row r="156" spans="1:11" x14ac:dyDescent="0.25">
      <c r="A156" s="69">
        <v>121</v>
      </c>
      <c r="B156" s="94" t="s">
        <v>215</v>
      </c>
      <c r="C156" s="90" t="s">
        <v>110</v>
      </c>
      <c r="D156" s="90" t="s">
        <v>437</v>
      </c>
      <c r="E156" s="90">
        <v>52568204</v>
      </c>
      <c r="F156" s="90">
        <v>52568176</v>
      </c>
      <c r="G156" s="90" t="s">
        <v>108</v>
      </c>
      <c r="H156" s="92">
        <v>1.4340277777777776E-2</v>
      </c>
      <c r="I156" s="93">
        <v>44636.557638888888</v>
      </c>
      <c r="J156" s="93">
        <v>44636.571527777778</v>
      </c>
      <c r="K156" s="93">
        <v>44636.333333333336</v>
      </c>
    </row>
    <row r="157" spans="1:11" x14ac:dyDescent="0.25">
      <c r="A157" s="70">
        <v>122</v>
      </c>
      <c r="B157" s="94" t="s">
        <v>217</v>
      </c>
      <c r="C157" s="90" t="s">
        <v>110</v>
      </c>
      <c r="D157" s="90" t="s">
        <v>437</v>
      </c>
      <c r="E157" s="90">
        <v>52568202</v>
      </c>
      <c r="F157" s="90">
        <v>52568176</v>
      </c>
      <c r="G157" s="90" t="s">
        <v>108</v>
      </c>
      <c r="H157" s="92">
        <v>7.4421296296296293E-3</v>
      </c>
      <c r="I157" s="93">
        <v>44636.557638888888</v>
      </c>
      <c r="J157" s="93">
        <v>44636.564583333333</v>
      </c>
      <c r="K157" s="93">
        <v>44636.333333333336</v>
      </c>
    </row>
    <row r="158" spans="1:11" x14ac:dyDescent="0.25">
      <c r="A158" s="69">
        <v>123</v>
      </c>
      <c r="B158" s="94" t="s">
        <v>216</v>
      </c>
      <c r="C158" s="90" t="s">
        <v>110</v>
      </c>
      <c r="D158" s="90" t="s">
        <v>437</v>
      </c>
      <c r="E158" s="90">
        <v>52568203</v>
      </c>
      <c r="F158" s="90">
        <v>52568176</v>
      </c>
      <c r="G158" s="90" t="s">
        <v>108</v>
      </c>
      <c r="H158" s="92">
        <v>1.0416666666666667E-4</v>
      </c>
      <c r="I158" s="93">
        <v>44636.557638888888</v>
      </c>
      <c r="J158" s="93">
        <v>44636.557638888888</v>
      </c>
      <c r="K158" s="93">
        <v>44636.333333333336</v>
      </c>
    </row>
    <row r="159" spans="1:11" x14ac:dyDescent="0.25">
      <c r="A159" s="70">
        <v>124</v>
      </c>
      <c r="B159" s="94" t="s">
        <v>218</v>
      </c>
      <c r="C159" s="90" t="s">
        <v>110</v>
      </c>
      <c r="D159" s="90" t="s">
        <v>437</v>
      </c>
      <c r="E159" s="90">
        <v>52568200</v>
      </c>
      <c r="F159" s="90">
        <v>52568176</v>
      </c>
      <c r="G159" s="90" t="s">
        <v>108</v>
      </c>
      <c r="H159" s="92">
        <v>1.2534722222222223E-2</v>
      </c>
      <c r="I159" s="93">
        <v>44636.545138888891</v>
      </c>
      <c r="J159" s="93">
        <v>44636.557638888888</v>
      </c>
      <c r="K159" s="93">
        <v>44636.333333333336</v>
      </c>
    </row>
    <row r="160" spans="1:11" x14ac:dyDescent="0.25">
      <c r="A160" s="69">
        <v>125</v>
      </c>
      <c r="B160" s="94" t="s">
        <v>219</v>
      </c>
      <c r="C160" s="90" t="s">
        <v>110</v>
      </c>
      <c r="D160" s="90" t="s">
        <v>437</v>
      </c>
      <c r="E160" s="90">
        <v>52568205</v>
      </c>
      <c r="F160" s="90">
        <v>52568176</v>
      </c>
      <c r="G160" s="90" t="s">
        <v>108</v>
      </c>
      <c r="H160" s="92">
        <v>1.4374999999999999E-2</v>
      </c>
      <c r="I160" s="93">
        <v>44636.545138888891</v>
      </c>
      <c r="J160" s="93">
        <v>44636.559027777781</v>
      </c>
      <c r="K160" s="93">
        <v>44636.333333333336</v>
      </c>
    </row>
    <row r="161" spans="1:11" x14ac:dyDescent="0.25">
      <c r="A161" s="70">
        <v>126</v>
      </c>
      <c r="B161" s="94" t="s">
        <v>220</v>
      </c>
      <c r="C161" s="90" t="s">
        <v>110</v>
      </c>
      <c r="D161" s="90" t="s">
        <v>437</v>
      </c>
      <c r="E161" s="90">
        <v>52568197</v>
      </c>
      <c r="F161" s="90">
        <v>52568176</v>
      </c>
      <c r="G161" s="90" t="s">
        <v>108</v>
      </c>
      <c r="H161" s="92">
        <v>6.9444444444444444E-5</v>
      </c>
      <c r="I161" s="93">
        <v>44636.544444444444</v>
      </c>
      <c r="J161" s="93">
        <v>44636.545138888891</v>
      </c>
      <c r="K161" s="93">
        <v>44636.333333333336</v>
      </c>
    </row>
    <row r="162" spans="1:11" x14ac:dyDescent="0.25">
      <c r="A162" s="69">
        <v>127</v>
      </c>
      <c r="B162" s="94" t="s">
        <v>221</v>
      </c>
      <c r="C162" s="90" t="s">
        <v>110</v>
      </c>
      <c r="D162" s="90" t="s">
        <v>437</v>
      </c>
      <c r="E162" s="90">
        <v>52568196</v>
      </c>
      <c r="F162" s="90">
        <v>52568176</v>
      </c>
      <c r="G162" s="90" t="s">
        <v>108</v>
      </c>
      <c r="H162" s="92">
        <v>1.4652777777777778E-2</v>
      </c>
      <c r="I162" s="93">
        <v>44636.529861111114</v>
      </c>
      <c r="J162" s="93">
        <v>44636.544444444444</v>
      </c>
      <c r="K162" s="93">
        <v>44636.333333333336</v>
      </c>
    </row>
    <row r="163" spans="1:11" x14ac:dyDescent="0.25">
      <c r="A163" s="70">
        <v>128</v>
      </c>
      <c r="B163" s="94" t="s">
        <v>222</v>
      </c>
      <c r="C163" s="90" t="s">
        <v>110</v>
      </c>
      <c r="D163" s="90" t="s">
        <v>437</v>
      </c>
      <c r="E163" s="90">
        <v>52568195</v>
      </c>
      <c r="F163" s="90">
        <v>52568176</v>
      </c>
      <c r="G163" s="90" t="s">
        <v>108</v>
      </c>
      <c r="H163" s="92">
        <v>1.6145833333333335E-2</v>
      </c>
      <c r="I163" s="93">
        <v>44636.513888888891</v>
      </c>
      <c r="J163" s="93">
        <v>44636.529861111114</v>
      </c>
      <c r="K163" s="93">
        <v>44636.333333333336</v>
      </c>
    </row>
    <row r="164" spans="1:11" x14ac:dyDescent="0.25">
      <c r="A164" s="69">
        <v>129</v>
      </c>
      <c r="B164" s="94" t="s">
        <v>223</v>
      </c>
      <c r="C164" s="90" t="s">
        <v>110</v>
      </c>
      <c r="D164" s="90" t="s">
        <v>437</v>
      </c>
      <c r="E164" s="90">
        <v>52568194</v>
      </c>
      <c r="F164" s="90">
        <v>52568176</v>
      </c>
      <c r="G164" s="90" t="s">
        <v>108</v>
      </c>
      <c r="H164" s="92">
        <v>9.2592592592592588E-5</v>
      </c>
      <c r="I164" s="93">
        <v>44636.513888888891</v>
      </c>
      <c r="J164" s="93">
        <v>44636.513888888891</v>
      </c>
      <c r="K164" s="93">
        <v>44636.333333333336</v>
      </c>
    </row>
    <row r="165" spans="1:11" x14ac:dyDescent="0.25">
      <c r="A165" s="70">
        <v>130</v>
      </c>
      <c r="B165" s="94" t="s">
        <v>224</v>
      </c>
      <c r="C165" s="90" t="s">
        <v>110</v>
      </c>
      <c r="D165" s="90" t="s">
        <v>437</v>
      </c>
      <c r="E165" s="90">
        <v>52568193</v>
      </c>
      <c r="F165" s="90">
        <v>52568176</v>
      </c>
      <c r="G165" s="90" t="s">
        <v>108</v>
      </c>
      <c r="H165" s="92">
        <v>6.9444444444444444E-5</v>
      </c>
      <c r="I165" s="93">
        <v>44636.513888888891</v>
      </c>
      <c r="J165" s="93">
        <v>44636.513888888891</v>
      </c>
      <c r="K165" s="93">
        <v>44636.333333333336</v>
      </c>
    </row>
    <row r="166" spans="1:11" x14ac:dyDescent="0.25">
      <c r="A166" s="69">
        <v>131</v>
      </c>
      <c r="B166" s="94" t="s">
        <v>225</v>
      </c>
      <c r="C166" s="90" t="s">
        <v>110</v>
      </c>
      <c r="D166" s="90" t="s">
        <v>437</v>
      </c>
      <c r="E166" s="90">
        <v>52568192</v>
      </c>
      <c r="F166" s="90">
        <v>52568176</v>
      </c>
      <c r="G166" s="90" t="s">
        <v>108</v>
      </c>
      <c r="H166" s="92">
        <v>4.5601851851851853E-3</v>
      </c>
      <c r="I166" s="93">
        <v>44636.509027777778</v>
      </c>
      <c r="J166" s="93">
        <v>44636.513888888891</v>
      </c>
      <c r="K166" s="93">
        <v>44636.333333333336</v>
      </c>
    </row>
    <row r="167" spans="1:11" x14ac:dyDescent="0.25">
      <c r="A167" s="70">
        <v>132</v>
      </c>
      <c r="B167" s="94" t="s">
        <v>226</v>
      </c>
      <c r="C167" s="90" t="s">
        <v>110</v>
      </c>
      <c r="D167" s="90" t="s">
        <v>437</v>
      </c>
      <c r="E167" s="90">
        <v>52568191</v>
      </c>
      <c r="F167" s="90">
        <v>52568176</v>
      </c>
      <c r="G167" s="90" t="s">
        <v>108</v>
      </c>
      <c r="H167" s="92">
        <v>5.0115740740740737E-3</v>
      </c>
      <c r="I167" s="93">
        <v>44636.504166666666</v>
      </c>
      <c r="J167" s="93">
        <v>44636.509027777778</v>
      </c>
      <c r="K167" s="93">
        <v>44636.333333333336</v>
      </c>
    </row>
    <row r="168" spans="1:11" x14ac:dyDescent="0.25">
      <c r="A168" s="69">
        <v>133</v>
      </c>
      <c r="B168" s="94" t="s">
        <v>136</v>
      </c>
      <c r="C168" s="90" t="s">
        <v>110</v>
      </c>
      <c r="D168" s="90" t="s">
        <v>437</v>
      </c>
      <c r="E168" s="90">
        <v>52568186</v>
      </c>
      <c r="F168" s="90">
        <v>52568176</v>
      </c>
      <c r="G168" s="90" t="s">
        <v>108</v>
      </c>
      <c r="H168" s="92">
        <v>1.1574074074074073E-5</v>
      </c>
      <c r="I168" s="93">
        <v>44636.429861111108</v>
      </c>
      <c r="J168" s="93">
        <v>44636.429861111108</v>
      </c>
      <c r="K168" s="93">
        <v>44636.333333333336</v>
      </c>
    </row>
    <row r="169" spans="1:11" x14ac:dyDescent="0.25">
      <c r="A169" s="70">
        <v>134</v>
      </c>
      <c r="B169" s="94" t="s">
        <v>233</v>
      </c>
      <c r="C169" s="90" t="s">
        <v>110</v>
      </c>
      <c r="D169" s="90" t="s">
        <v>437</v>
      </c>
      <c r="E169" s="90">
        <v>52568185</v>
      </c>
      <c r="F169" s="90">
        <v>52568176</v>
      </c>
      <c r="G169" s="90" t="s">
        <v>108</v>
      </c>
      <c r="H169" s="92">
        <v>3.4722222222222222E-5</v>
      </c>
      <c r="I169" s="93">
        <v>44636.429861111108</v>
      </c>
      <c r="J169" s="93">
        <v>44636.429861111108</v>
      </c>
      <c r="K169" s="93">
        <v>44636.333333333336</v>
      </c>
    </row>
    <row r="170" spans="1:11" x14ac:dyDescent="0.25">
      <c r="A170" s="69">
        <v>135</v>
      </c>
      <c r="B170" s="94" t="s">
        <v>134</v>
      </c>
      <c r="C170" s="90" t="s">
        <v>110</v>
      </c>
      <c r="D170" s="90" t="s">
        <v>437</v>
      </c>
      <c r="E170" s="90">
        <v>52568188</v>
      </c>
      <c r="F170" s="90">
        <v>52568176</v>
      </c>
      <c r="G170" s="90" t="s">
        <v>108</v>
      </c>
      <c r="H170" s="92">
        <v>1.1574074074074073E-5</v>
      </c>
      <c r="I170" s="93">
        <v>44636.429861111108</v>
      </c>
      <c r="J170" s="93">
        <v>44636.429861111108</v>
      </c>
      <c r="K170" s="93">
        <v>44636.333333333336</v>
      </c>
    </row>
    <row r="171" spans="1:11" x14ac:dyDescent="0.25">
      <c r="A171" s="70">
        <v>136</v>
      </c>
      <c r="B171" s="94" t="s">
        <v>227</v>
      </c>
      <c r="C171" s="90" t="s">
        <v>110</v>
      </c>
      <c r="D171" s="90" t="s">
        <v>437</v>
      </c>
      <c r="E171" s="90">
        <v>52568187</v>
      </c>
      <c r="F171" s="90">
        <v>52568176</v>
      </c>
      <c r="G171" s="90" t="s">
        <v>108</v>
      </c>
      <c r="H171" s="92">
        <v>3.4722222222222222E-5</v>
      </c>
      <c r="I171" s="93">
        <v>44636.429861111108</v>
      </c>
      <c r="J171" s="93">
        <v>44636.429861111108</v>
      </c>
      <c r="K171" s="93">
        <v>44636.333333333336</v>
      </c>
    </row>
    <row r="172" spans="1:11" x14ac:dyDescent="0.25">
      <c r="A172" s="69">
        <v>137</v>
      </c>
      <c r="B172" s="94" t="s">
        <v>132</v>
      </c>
      <c r="C172" s="90" t="s">
        <v>110</v>
      </c>
      <c r="D172" s="90" t="s">
        <v>437</v>
      </c>
      <c r="E172" s="90">
        <v>52568190</v>
      </c>
      <c r="F172" s="90">
        <v>52568176</v>
      </c>
      <c r="G172" s="90" t="s">
        <v>108</v>
      </c>
      <c r="H172" s="92">
        <v>2.3148148148148147E-5</v>
      </c>
      <c r="I172" s="93">
        <v>44636.429861111108</v>
      </c>
      <c r="J172" s="93">
        <v>44636.429861111108</v>
      </c>
      <c r="K172" s="93">
        <v>44636.333333333336</v>
      </c>
    </row>
    <row r="173" spans="1:11" x14ac:dyDescent="0.25">
      <c r="A173" s="70">
        <v>138</v>
      </c>
      <c r="B173" s="94" t="s">
        <v>228</v>
      </c>
      <c r="C173" s="90" t="s">
        <v>110</v>
      </c>
      <c r="D173" s="90" t="s">
        <v>437</v>
      </c>
      <c r="E173" s="90">
        <v>52568189</v>
      </c>
      <c r="F173" s="90">
        <v>52568176</v>
      </c>
      <c r="G173" s="90" t="s">
        <v>108</v>
      </c>
      <c r="H173" s="92">
        <v>4.6296296296296294E-5</v>
      </c>
      <c r="I173" s="93">
        <v>44636.429861111108</v>
      </c>
      <c r="J173" s="93">
        <v>44636.429861111108</v>
      </c>
      <c r="K173" s="93">
        <v>44636.333333333336</v>
      </c>
    </row>
    <row r="174" spans="1:11" x14ac:dyDescent="0.25">
      <c r="A174" s="69">
        <v>139</v>
      </c>
      <c r="B174" s="94" t="s">
        <v>234</v>
      </c>
      <c r="C174" s="90" t="s">
        <v>110</v>
      </c>
      <c r="D174" s="90" t="s">
        <v>437</v>
      </c>
      <c r="E174" s="90">
        <v>52568181</v>
      </c>
      <c r="F174" s="90">
        <v>52568176</v>
      </c>
      <c r="G174" s="90" t="s">
        <v>108</v>
      </c>
      <c r="H174" s="92">
        <v>1.3888888888888889E-4</v>
      </c>
      <c r="I174" s="93">
        <v>44636.429166666669</v>
      </c>
      <c r="J174" s="93">
        <v>44636.429861111108</v>
      </c>
      <c r="K174" s="93">
        <v>44636.333333333336</v>
      </c>
    </row>
    <row r="175" spans="1:11" x14ac:dyDescent="0.25">
      <c r="A175" s="70">
        <v>140</v>
      </c>
      <c r="B175" s="94" t="s">
        <v>229</v>
      </c>
      <c r="C175" s="90" t="s">
        <v>110</v>
      </c>
      <c r="D175" s="91"/>
      <c r="E175" s="90">
        <v>52568177</v>
      </c>
      <c r="F175" s="90">
        <v>52568176</v>
      </c>
      <c r="G175" s="90" t="s">
        <v>111</v>
      </c>
      <c r="H175" s="92">
        <v>0</v>
      </c>
      <c r="I175" s="91"/>
      <c r="J175" s="93">
        <v>44636.333333333336</v>
      </c>
      <c r="K175" s="93">
        <v>44636.333333333336</v>
      </c>
    </row>
    <row r="176" spans="1:11" x14ac:dyDescent="0.25">
      <c r="A176" s="69">
        <v>141</v>
      </c>
      <c r="B176" s="94" t="s">
        <v>235</v>
      </c>
      <c r="C176" s="90" t="s">
        <v>110</v>
      </c>
      <c r="D176" s="90" t="s">
        <v>437</v>
      </c>
      <c r="E176" s="90">
        <v>52568179</v>
      </c>
      <c r="F176" s="90">
        <v>52568176</v>
      </c>
      <c r="G176" s="90" t="s">
        <v>108</v>
      </c>
      <c r="H176" s="92">
        <v>5.7870370370370378E-4</v>
      </c>
      <c r="I176" s="93">
        <v>44636.429166666669</v>
      </c>
      <c r="J176" s="93">
        <v>44636.429861111108</v>
      </c>
      <c r="K176" s="93">
        <v>44636.333333333336</v>
      </c>
    </row>
    <row r="177" spans="1:11" x14ac:dyDescent="0.25">
      <c r="A177" s="70">
        <v>142</v>
      </c>
      <c r="B177" s="94" t="s">
        <v>237</v>
      </c>
      <c r="C177" s="90" t="s">
        <v>110</v>
      </c>
      <c r="D177" s="90" t="s">
        <v>437</v>
      </c>
      <c r="E177" s="90">
        <v>52568180</v>
      </c>
      <c r="F177" s="90">
        <v>52568176</v>
      </c>
      <c r="G177" s="90" t="s">
        <v>108</v>
      </c>
      <c r="H177" s="92">
        <v>2.3148148148148146E-4</v>
      </c>
      <c r="I177" s="93">
        <v>44636.429166666669</v>
      </c>
      <c r="J177" s="93">
        <v>44636.429861111108</v>
      </c>
      <c r="K177" s="93">
        <v>44636.333333333336</v>
      </c>
    </row>
    <row r="178" spans="1:11" x14ac:dyDescent="0.25">
      <c r="A178" s="69">
        <v>143</v>
      </c>
      <c r="B178" s="94" t="s">
        <v>236</v>
      </c>
      <c r="C178" s="90" t="s">
        <v>110</v>
      </c>
      <c r="D178" s="90" t="s">
        <v>437</v>
      </c>
      <c r="E178" s="90">
        <v>52568178</v>
      </c>
      <c r="F178" s="90">
        <v>52568176</v>
      </c>
      <c r="G178" s="90" t="s">
        <v>108</v>
      </c>
      <c r="H178" s="92">
        <v>1.0416666666666667E-4</v>
      </c>
      <c r="I178" s="93">
        <v>44636.429166666669</v>
      </c>
      <c r="J178" s="93">
        <v>44636.429861111108</v>
      </c>
      <c r="K178" s="93">
        <v>44636.333333333336</v>
      </c>
    </row>
    <row r="179" spans="1:11" x14ac:dyDescent="0.25">
      <c r="A179" s="70">
        <v>144</v>
      </c>
      <c r="B179" s="89" t="s">
        <v>78</v>
      </c>
      <c r="C179" s="90" t="s">
        <v>107</v>
      </c>
      <c r="D179" s="91"/>
      <c r="E179" s="90">
        <v>52568209</v>
      </c>
      <c r="F179" s="90">
        <v>52565645</v>
      </c>
      <c r="G179" s="90" t="s">
        <v>108</v>
      </c>
      <c r="H179" s="92">
        <v>9.1921296296296293E-2</v>
      </c>
      <c r="I179" s="93">
        <v>44636.42291666667</v>
      </c>
      <c r="J179" s="93">
        <v>44636.51458333333</v>
      </c>
      <c r="K179" s="93">
        <v>44636.333333333336</v>
      </c>
    </row>
    <row r="180" spans="1:11" x14ac:dyDescent="0.25">
      <c r="A180" s="69">
        <v>145</v>
      </c>
      <c r="B180" s="94" t="s">
        <v>239</v>
      </c>
      <c r="C180" s="90" t="s">
        <v>110</v>
      </c>
      <c r="D180" s="91"/>
      <c r="E180" s="90">
        <v>52568211</v>
      </c>
      <c r="F180" s="90">
        <v>52568209</v>
      </c>
      <c r="G180" s="90" t="s">
        <v>111</v>
      </c>
      <c r="H180" s="92">
        <v>0</v>
      </c>
      <c r="I180" s="91"/>
      <c r="J180" s="93">
        <v>44636.333333333336</v>
      </c>
      <c r="K180" s="93">
        <v>44636.333333333336</v>
      </c>
    </row>
    <row r="181" spans="1:11" x14ac:dyDescent="0.25">
      <c r="A181" s="70">
        <v>146</v>
      </c>
      <c r="B181" s="94" t="s">
        <v>238</v>
      </c>
      <c r="C181" s="90" t="s">
        <v>110</v>
      </c>
      <c r="D181" s="91"/>
      <c r="E181" s="90">
        <v>52568213</v>
      </c>
      <c r="F181" s="90">
        <v>52568209</v>
      </c>
      <c r="G181" s="90" t="s">
        <v>111</v>
      </c>
      <c r="H181" s="92">
        <v>0</v>
      </c>
      <c r="I181" s="91"/>
      <c r="J181" s="93">
        <v>44636.333333333336</v>
      </c>
      <c r="K181" s="93">
        <v>44636.333333333336</v>
      </c>
    </row>
    <row r="182" spans="1:11" x14ac:dyDescent="0.25">
      <c r="A182" s="69">
        <v>147</v>
      </c>
      <c r="B182" s="94" t="s">
        <v>241</v>
      </c>
      <c r="C182" s="90" t="s">
        <v>110</v>
      </c>
      <c r="D182" s="90" t="s">
        <v>437</v>
      </c>
      <c r="E182" s="90">
        <v>52568212</v>
      </c>
      <c r="F182" s="90">
        <v>52568209</v>
      </c>
      <c r="G182" s="90" t="s">
        <v>108</v>
      </c>
      <c r="H182" s="92">
        <v>2.7777777777777778E-4</v>
      </c>
      <c r="I182" s="93">
        <v>44636.51458333333</v>
      </c>
      <c r="J182" s="93">
        <v>44636.51458333333</v>
      </c>
      <c r="K182" s="93">
        <v>44636.333333333336</v>
      </c>
    </row>
    <row r="183" spans="1:11" x14ac:dyDescent="0.25">
      <c r="A183" s="70">
        <v>148</v>
      </c>
      <c r="B183" s="94" t="s">
        <v>240</v>
      </c>
      <c r="C183" s="90" t="s">
        <v>110</v>
      </c>
      <c r="D183" s="90" t="s">
        <v>437</v>
      </c>
      <c r="E183" s="90">
        <v>52568210</v>
      </c>
      <c r="F183" s="90">
        <v>52568209</v>
      </c>
      <c r="G183" s="90" t="s">
        <v>108</v>
      </c>
      <c r="H183" s="92">
        <v>3.8888888888888883E-3</v>
      </c>
      <c r="I183" s="93">
        <v>44636.505555555559</v>
      </c>
      <c r="J183" s="93">
        <v>44636.509027777778</v>
      </c>
      <c r="K183" s="93">
        <v>44636.333333333336</v>
      </c>
    </row>
    <row r="184" spans="1:11" x14ac:dyDescent="0.25">
      <c r="A184" s="69">
        <v>149</v>
      </c>
      <c r="B184" s="96" t="s">
        <v>79</v>
      </c>
      <c r="C184" s="85" t="s">
        <v>107</v>
      </c>
      <c r="D184" s="86"/>
      <c r="E184" s="85">
        <v>52568225</v>
      </c>
      <c r="F184" s="85">
        <v>52565645</v>
      </c>
      <c r="G184" s="85" t="s">
        <v>108</v>
      </c>
      <c r="H184" s="87">
        <v>6.2037037037037043E-3</v>
      </c>
      <c r="I184" s="88">
        <v>44636.470833333333</v>
      </c>
      <c r="J184" s="88">
        <v>44636.477083333331</v>
      </c>
      <c r="K184" s="88">
        <v>44636.333333333336</v>
      </c>
    </row>
    <row r="185" spans="1:11" x14ac:dyDescent="0.25">
      <c r="A185" s="70">
        <v>150</v>
      </c>
      <c r="B185" s="94" t="s">
        <v>242</v>
      </c>
      <c r="C185" s="90" t="s">
        <v>110</v>
      </c>
      <c r="D185" s="90" t="s">
        <v>437</v>
      </c>
      <c r="E185" s="90">
        <v>52568239</v>
      </c>
      <c r="F185" s="90">
        <v>52568225</v>
      </c>
      <c r="G185" s="90" t="s">
        <v>108</v>
      </c>
      <c r="H185" s="92">
        <v>1.2731481481481483E-3</v>
      </c>
      <c r="I185" s="93">
        <v>44636.475694444445</v>
      </c>
      <c r="J185" s="93">
        <v>44636.477083333331</v>
      </c>
      <c r="K185" s="93">
        <v>44636.333333333336</v>
      </c>
    </row>
    <row r="186" spans="1:11" x14ac:dyDescent="0.25">
      <c r="A186" s="69">
        <v>151</v>
      </c>
      <c r="B186" s="94" t="s">
        <v>243</v>
      </c>
      <c r="C186" s="90" t="s">
        <v>110</v>
      </c>
      <c r="D186" s="90" t="s">
        <v>437</v>
      </c>
      <c r="E186" s="90">
        <v>52568238</v>
      </c>
      <c r="F186" s="90">
        <v>52568225</v>
      </c>
      <c r="G186" s="90" t="s">
        <v>108</v>
      </c>
      <c r="H186" s="92">
        <v>2.3148148148148147E-5</v>
      </c>
      <c r="I186" s="93">
        <v>44636.475694444445</v>
      </c>
      <c r="J186" s="93">
        <v>44636.475694444445</v>
      </c>
      <c r="K186" s="93">
        <v>44636.333333333336</v>
      </c>
    </row>
    <row r="187" spans="1:11" x14ac:dyDescent="0.25">
      <c r="A187" s="70">
        <v>152</v>
      </c>
      <c r="B187" s="94" t="s">
        <v>244</v>
      </c>
      <c r="C187" s="90" t="s">
        <v>110</v>
      </c>
      <c r="D187" s="90" t="s">
        <v>437</v>
      </c>
      <c r="E187" s="90">
        <v>52568237</v>
      </c>
      <c r="F187" s="90">
        <v>52568225</v>
      </c>
      <c r="G187" s="90" t="s">
        <v>245</v>
      </c>
      <c r="H187" s="92">
        <v>3.7962962962962963E-3</v>
      </c>
      <c r="I187" s="93">
        <v>44636.472222222219</v>
      </c>
      <c r="J187" s="93">
        <v>44636.475694444445</v>
      </c>
      <c r="K187" s="93">
        <v>44636.333333333336</v>
      </c>
    </row>
    <row r="188" spans="1:11" x14ac:dyDescent="0.25">
      <c r="A188" s="69">
        <v>153</v>
      </c>
      <c r="B188" s="94" t="s">
        <v>246</v>
      </c>
      <c r="C188" s="90" t="s">
        <v>110</v>
      </c>
      <c r="D188" s="90" t="s">
        <v>436</v>
      </c>
      <c r="E188" s="90">
        <v>52566734</v>
      </c>
      <c r="F188" s="90">
        <v>52568225</v>
      </c>
      <c r="G188" s="90" t="s">
        <v>108</v>
      </c>
      <c r="H188" s="92">
        <v>3.4722222222222224E-4</v>
      </c>
      <c r="I188" s="93">
        <v>44636.47152777778</v>
      </c>
      <c r="J188" s="93">
        <v>44636.472222222219</v>
      </c>
      <c r="K188" s="93">
        <v>44636.333333333336</v>
      </c>
    </row>
    <row r="189" spans="1:11" x14ac:dyDescent="0.25">
      <c r="A189" s="70">
        <v>154</v>
      </c>
      <c r="B189" s="94" t="s">
        <v>247</v>
      </c>
      <c r="C189" s="90" t="s">
        <v>110</v>
      </c>
      <c r="D189" s="90" t="s">
        <v>436</v>
      </c>
      <c r="E189" s="90">
        <v>52568242</v>
      </c>
      <c r="F189" s="90">
        <v>52568225</v>
      </c>
      <c r="G189" s="90" t="s">
        <v>108</v>
      </c>
      <c r="H189" s="92">
        <v>3.4722222222222224E-4</v>
      </c>
      <c r="I189" s="93">
        <v>44636.47152777778</v>
      </c>
      <c r="J189" s="93">
        <v>44636.47152777778</v>
      </c>
      <c r="K189" s="93">
        <v>44636.333333333336</v>
      </c>
    </row>
    <row r="190" spans="1:11" x14ac:dyDescent="0.25">
      <c r="A190" s="69">
        <v>155</v>
      </c>
      <c r="B190" s="94" t="s">
        <v>254</v>
      </c>
      <c r="C190" s="90" t="s">
        <v>110</v>
      </c>
      <c r="D190" s="90" t="s">
        <v>436</v>
      </c>
      <c r="E190" s="90">
        <v>52568234</v>
      </c>
      <c r="F190" s="90">
        <v>52568225</v>
      </c>
      <c r="G190" s="90" t="s">
        <v>108</v>
      </c>
      <c r="H190" s="92">
        <v>3.4722222222222224E-4</v>
      </c>
      <c r="I190" s="93">
        <v>44636.47152777778</v>
      </c>
      <c r="J190" s="93">
        <v>44636.47152777778</v>
      </c>
      <c r="K190" s="93">
        <v>44636.333333333336</v>
      </c>
    </row>
    <row r="191" spans="1:11" x14ac:dyDescent="0.25">
      <c r="A191" s="70">
        <v>156</v>
      </c>
      <c r="B191" s="94" t="s">
        <v>248</v>
      </c>
      <c r="C191" s="90" t="s">
        <v>110</v>
      </c>
      <c r="D191" s="90" t="s">
        <v>436</v>
      </c>
      <c r="E191" s="90">
        <v>52568241</v>
      </c>
      <c r="F191" s="90">
        <v>52568225</v>
      </c>
      <c r="G191" s="90" t="s">
        <v>108</v>
      </c>
      <c r="H191" s="92">
        <v>3.4722222222222224E-4</v>
      </c>
      <c r="I191" s="93">
        <v>44636.470833333333</v>
      </c>
      <c r="J191" s="93">
        <v>44636.47152777778</v>
      </c>
      <c r="K191" s="93">
        <v>44636.333333333336</v>
      </c>
    </row>
    <row r="192" spans="1:11" x14ac:dyDescent="0.25">
      <c r="A192" s="69">
        <v>157</v>
      </c>
      <c r="B192" s="94" t="s">
        <v>249</v>
      </c>
      <c r="C192" s="90" t="s">
        <v>110</v>
      </c>
      <c r="D192" s="90" t="s">
        <v>437</v>
      </c>
      <c r="E192" s="90">
        <v>52568240</v>
      </c>
      <c r="F192" s="90">
        <v>52568225</v>
      </c>
      <c r="G192" s="90" t="s">
        <v>108</v>
      </c>
      <c r="H192" s="92">
        <v>2.3148148148148147E-5</v>
      </c>
      <c r="I192" s="93">
        <v>44636.470833333333</v>
      </c>
      <c r="J192" s="93">
        <v>44636.470833333333</v>
      </c>
      <c r="K192" s="93">
        <v>44636.333333333336</v>
      </c>
    </row>
    <row r="193" spans="1:11" x14ac:dyDescent="0.25">
      <c r="A193" s="70">
        <v>158</v>
      </c>
      <c r="B193" s="94" t="s">
        <v>250</v>
      </c>
      <c r="C193" s="90" t="s">
        <v>110</v>
      </c>
      <c r="D193" s="90" t="s">
        <v>437</v>
      </c>
      <c r="E193" s="90">
        <v>52568236</v>
      </c>
      <c r="F193" s="90">
        <v>52568225</v>
      </c>
      <c r="G193" s="90" t="s">
        <v>108</v>
      </c>
      <c r="H193" s="92">
        <v>9.8379629629629642E-4</v>
      </c>
      <c r="I193" s="93">
        <v>44636.470833333333</v>
      </c>
      <c r="J193" s="93">
        <v>44636.472222222219</v>
      </c>
      <c r="K193" s="93">
        <v>44636.333333333336</v>
      </c>
    </row>
    <row r="194" spans="1:11" x14ac:dyDescent="0.25">
      <c r="A194" s="69">
        <v>159</v>
      </c>
      <c r="B194" s="94" t="s">
        <v>251</v>
      </c>
      <c r="C194" s="90" t="s">
        <v>110</v>
      </c>
      <c r="D194" s="90" t="s">
        <v>437</v>
      </c>
      <c r="E194" s="90">
        <v>52568235</v>
      </c>
      <c r="F194" s="90">
        <v>52568225</v>
      </c>
      <c r="G194" s="90" t="s">
        <v>108</v>
      </c>
      <c r="H194" s="92">
        <v>1.1574074074074073E-5</v>
      </c>
      <c r="I194" s="93">
        <v>44636.470833333333</v>
      </c>
      <c r="J194" s="93">
        <v>44636.470833333333</v>
      </c>
      <c r="K194" s="93">
        <v>44636.333333333336</v>
      </c>
    </row>
    <row r="195" spans="1:11" x14ac:dyDescent="0.25">
      <c r="A195" s="70">
        <v>160</v>
      </c>
      <c r="B195" s="94" t="s">
        <v>252</v>
      </c>
      <c r="C195" s="90" t="s">
        <v>110</v>
      </c>
      <c r="D195" s="91"/>
      <c r="E195" s="90">
        <v>52568227</v>
      </c>
      <c r="F195" s="90">
        <v>52568225</v>
      </c>
      <c r="G195" s="90" t="s">
        <v>111</v>
      </c>
      <c r="H195" s="92">
        <v>0</v>
      </c>
      <c r="I195" s="91"/>
      <c r="J195" s="93">
        <v>44636.333333333336</v>
      </c>
      <c r="K195" s="93">
        <v>44636.333333333336</v>
      </c>
    </row>
    <row r="196" spans="1:11" x14ac:dyDescent="0.25">
      <c r="A196" s="69">
        <v>161</v>
      </c>
      <c r="B196" s="94" t="s">
        <v>253</v>
      </c>
      <c r="C196" s="90" t="s">
        <v>110</v>
      </c>
      <c r="D196" s="91"/>
      <c r="E196" s="90">
        <v>52568226</v>
      </c>
      <c r="F196" s="90">
        <v>52568225</v>
      </c>
      <c r="G196" s="90" t="s">
        <v>111</v>
      </c>
      <c r="H196" s="92">
        <v>0</v>
      </c>
      <c r="I196" s="91"/>
      <c r="J196" s="93">
        <v>44636.333333333336</v>
      </c>
      <c r="K196" s="93">
        <v>44636.333333333336</v>
      </c>
    </row>
    <row r="197" spans="1:11" x14ac:dyDescent="0.25">
      <c r="A197" s="70">
        <v>162</v>
      </c>
      <c r="B197" s="94" t="s">
        <v>255</v>
      </c>
      <c r="C197" s="90" t="s">
        <v>110</v>
      </c>
      <c r="D197" s="90" t="s">
        <v>436</v>
      </c>
      <c r="E197" s="90">
        <v>52568233</v>
      </c>
      <c r="F197" s="90">
        <v>52568225</v>
      </c>
      <c r="G197" s="90" t="s">
        <v>108</v>
      </c>
      <c r="H197" s="92">
        <v>3.4722222222222224E-4</v>
      </c>
      <c r="I197" s="93">
        <v>44636.470833333333</v>
      </c>
      <c r="J197" s="93">
        <v>44636.47152777778</v>
      </c>
      <c r="K197" s="93">
        <v>44636.333333333336</v>
      </c>
    </row>
    <row r="198" spans="1:11" x14ac:dyDescent="0.25">
      <c r="A198" s="69">
        <v>163</v>
      </c>
      <c r="B198" s="94" t="s">
        <v>259</v>
      </c>
      <c r="C198" s="90" t="s">
        <v>110</v>
      </c>
      <c r="D198" s="90" t="s">
        <v>437</v>
      </c>
      <c r="E198" s="90">
        <v>52568232</v>
      </c>
      <c r="F198" s="90">
        <v>52568225</v>
      </c>
      <c r="G198" s="90" t="s">
        <v>108</v>
      </c>
      <c r="H198" s="92">
        <v>1.1574074074074073E-5</v>
      </c>
      <c r="I198" s="93">
        <v>44636.470833333333</v>
      </c>
      <c r="J198" s="93">
        <v>44636.470833333333</v>
      </c>
      <c r="K198" s="93">
        <v>44636.333333333336</v>
      </c>
    </row>
    <row r="199" spans="1:11" x14ac:dyDescent="0.25">
      <c r="A199" s="70">
        <v>164</v>
      </c>
      <c r="B199" s="94" t="s">
        <v>256</v>
      </c>
      <c r="C199" s="90" t="s">
        <v>110</v>
      </c>
      <c r="D199" s="90" t="s">
        <v>437</v>
      </c>
      <c r="E199" s="90">
        <v>52568231</v>
      </c>
      <c r="F199" s="90">
        <v>52568225</v>
      </c>
      <c r="G199" s="90" t="s">
        <v>108</v>
      </c>
      <c r="H199" s="92">
        <v>0</v>
      </c>
      <c r="I199" s="93">
        <v>44636.470833333333</v>
      </c>
      <c r="J199" s="93">
        <v>44636.470833333333</v>
      </c>
      <c r="K199" s="93">
        <v>44636.333333333336</v>
      </c>
    </row>
    <row r="200" spans="1:11" x14ac:dyDescent="0.25">
      <c r="A200" s="69">
        <v>165</v>
      </c>
      <c r="B200" s="94" t="s">
        <v>258</v>
      </c>
      <c r="C200" s="90" t="s">
        <v>110</v>
      </c>
      <c r="D200" s="90" t="s">
        <v>437</v>
      </c>
      <c r="E200" s="90">
        <v>52568230</v>
      </c>
      <c r="F200" s="90">
        <v>52568225</v>
      </c>
      <c r="G200" s="90" t="s">
        <v>108</v>
      </c>
      <c r="H200" s="92">
        <v>1.1574074074074073E-5</v>
      </c>
      <c r="I200" s="93">
        <v>44636.470833333333</v>
      </c>
      <c r="J200" s="93">
        <v>44636.470833333333</v>
      </c>
      <c r="K200" s="93">
        <v>44636.333333333336</v>
      </c>
    </row>
    <row r="201" spans="1:11" x14ac:dyDescent="0.25">
      <c r="A201" s="70">
        <v>166</v>
      </c>
      <c r="B201" s="94" t="s">
        <v>257</v>
      </c>
      <c r="C201" s="90" t="s">
        <v>110</v>
      </c>
      <c r="D201" s="90" t="s">
        <v>437</v>
      </c>
      <c r="E201" s="90">
        <v>52568229</v>
      </c>
      <c r="F201" s="90">
        <v>52568225</v>
      </c>
      <c r="G201" s="90" t="s">
        <v>108</v>
      </c>
      <c r="H201" s="92">
        <v>1.1574074074074073E-5</v>
      </c>
      <c r="I201" s="93">
        <v>44636.470833333333</v>
      </c>
      <c r="J201" s="93">
        <v>44636.470833333333</v>
      </c>
      <c r="K201" s="93">
        <v>44636.333333333336</v>
      </c>
    </row>
    <row r="202" spans="1:11" x14ac:dyDescent="0.25">
      <c r="A202" s="69">
        <v>167</v>
      </c>
      <c r="B202" s="94" t="s">
        <v>260</v>
      </c>
      <c r="C202" s="90" t="s">
        <v>110</v>
      </c>
      <c r="D202" s="90" t="s">
        <v>437</v>
      </c>
      <c r="E202" s="90">
        <v>52568228</v>
      </c>
      <c r="F202" s="90">
        <v>52568225</v>
      </c>
      <c r="G202" s="90" t="s">
        <v>108</v>
      </c>
      <c r="H202" s="92">
        <v>2.3148148148148147E-5</v>
      </c>
      <c r="I202" s="93">
        <v>44636.470833333333</v>
      </c>
      <c r="J202" s="93">
        <v>44636.470833333333</v>
      </c>
      <c r="K202" s="93">
        <v>44636.333333333336</v>
      </c>
    </row>
    <row r="203" spans="1:11" x14ac:dyDescent="0.25">
      <c r="A203" s="70">
        <v>168</v>
      </c>
      <c r="B203" s="89" t="s">
        <v>261</v>
      </c>
      <c r="C203" s="90" t="s">
        <v>110</v>
      </c>
      <c r="D203" s="90" t="s">
        <v>437</v>
      </c>
      <c r="E203" s="90">
        <v>52568224</v>
      </c>
      <c r="F203" s="90">
        <v>52565645</v>
      </c>
      <c r="G203" s="90" t="s">
        <v>108</v>
      </c>
      <c r="H203" s="92">
        <v>7.175925925925927E-4</v>
      </c>
      <c r="I203" s="93">
        <v>44636.470138888886</v>
      </c>
      <c r="J203" s="93">
        <v>44636.470833333333</v>
      </c>
      <c r="K203" s="93">
        <v>44636.333333333336</v>
      </c>
    </row>
    <row r="204" spans="1:11" x14ac:dyDescent="0.25">
      <c r="A204" s="69">
        <v>169</v>
      </c>
      <c r="B204" s="89" t="s">
        <v>262</v>
      </c>
      <c r="C204" s="90" t="s">
        <v>107</v>
      </c>
      <c r="D204" s="91"/>
      <c r="E204" s="90">
        <v>52568214</v>
      </c>
      <c r="F204" s="90">
        <v>52565645</v>
      </c>
      <c r="G204" s="90" t="s">
        <v>108</v>
      </c>
      <c r="H204" s="92">
        <v>4.6296296296296294E-5</v>
      </c>
      <c r="I204" s="93">
        <v>44636.418749999997</v>
      </c>
      <c r="J204" s="93">
        <v>44636.418749999997</v>
      </c>
      <c r="K204" s="93">
        <v>44636.333333333336</v>
      </c>
    </row>
    <row r="205" spans="1:11" x14ac:dyDescent="0.25">
      <c r="A205" s="70">
        <v>170</v>
      </c>
      <c r="B205" s="89" t="s">
        <v>263</v>
      </c>
      <c r="C205" s="90" t="s">
        <v>107</v>
      </c>
      <c r="D205" s="91"/>
      <c r="E205" s="90">
        <v>52564638</v>
      </c>
      <c r="F205" s="90">
        <v>52565645</v>
      </c>
      <c r="G205" s="90" t="s">
        <v>111</v>
      </c>
      <c r="H205" s="92">
        <v>0</v>
      </c>
      <c r="I205" s="91"/>
      <c r="J205" s="93">
        <v>44636.333333333336</v>
      </c>
      <c r="K205" s="93">
        <v>44636.333333333336</v>
      </c>
    </row>
    <row r="206" spans="1:11" x14ac:dyDescent="0.25">
      <c r="A206" s="69">
        <v>171</v>
      </c>
      <c r="B206" s="89" t="s">
        <v>80</v>
      </c>
      <c r="C206" s="90" t="s">
        <v>107</v>
      </c>
      <c r="D206" s="91"/>
      <c r="E206" s="90">
        <v>52565710</v>
      </c>
      <c r="F206" s="90">
        <v>52565645</v>
      </c>
      <c r="G206" s="90" t="s">
        <v>108</v>
      </c>
      <c r="H206" s="92">
        <v>2.3414351851851853E-2</v>
      </c>
      <c r="I206" s="93">
        <v>44636.477083333331</v>
      </c>
      <c r="J206" s="93">
        <v>44636.500694444447</v>
      </c>
      <c r="K206" s="93">
        <v>44636.333333333336</v>
      </c>
    </row>
    <row r="207" spans="1:11" x14ac:dyDescent="0.25">
      <c r="A207" s="70">
        <v>172</v>
      </c>
      <c r="B207" s="94" t="s">
        <v>264</v>
      </c>
      <c r="C207" s="90" t="s">
        <v>110</v>
      </c>
      <c r="D207" s="90" t="s">
        <v>436</v>
      </c>
      <c r="E207" s="90">
        <v>52564675</v>
      </c>
      <c r="F207" s="90">
        <v>52565710</v>
      </c>
      <c r="G207" s="90" t="s">
        <v>108</v>
      </c>
      <c r="H207" s="92">
        <v>2.7777777777777779E-3</v>
      </c>
      <c r="I207" s="93">
        <v>44636.49722222222</v>
      </c>
      <c r="J207" s="93">
        <v>44636.5</v>
      </c>
      <c r="K207" s="93">
        <v>44636.333333333336</v>
      </c>
    </row>
    <row r="208" spans="1:11" x14ac:dyDescent="0.25">
      <c r="A208" s="69">
        <v>173</v>
      </c>
      <c r="B208" s="94" t="s">
        <v>311</v>
      </c>
      <c r="C208" s="90" t="s">
        <v>110</v>
      </c>
      <c r="D208" s="90" t="s">
        <v>436</v>
      </c>
      <c r="E208" s="90">
        <v>52564651</v>
      </c>
      <c r="F208" s="90">
        <v>52565710</v>
      </c>
      <c r="G208" s="90" t="s">
        <v>170</v>
      </c>
      <c r="H208" s="92">
        <v>0</v>
      </c>
      <c r="I208" s="91"/>
      <c r="J208" s="93">
        <v>44636.477083333331</v>
      </c>
      <c r="K208" s="93">
        <v>44636.333333333336</v>
      </c>
    </row>
    <row r="209" spans="1:11" x14ac:dyDescent="0.25">
      <c r="A209" s="70">
        <v>174</v>
      </c>
      <c r="B209" s="94" t="s">
        <v>265</v>
      </c>
      <c r="C209" s="90" t="s">
        <v>110</v>
      </c>
      <c r="D209" s="90" t="s">
        <v>437</v>
      </c>
      <c r="E209" s="90">
        <v>52564653</v>
      </c>
      <c r="F209" s="90">
        <v>52565710</v>
      </c>
      <c r="G209" s="90" t="s">
        <v>245</v>
      </c>
      <c r="H209" s="92">
        <v>1.861111111111111E-2</v>
      </c>
      <c r="I209" s="93">
        <v>44636.478472222225</v>
      </c>
      <c r="J209" s="93">
        <v>44636.49722222222</v>
      </c>
      <c r="K209" s="93">
        <v>44636.333333333336</v>
      </c>
    </row>
    <row r="210" spans="1:11" x14ac:dyDescent="0.25">
      <c r="A210" s="69">
        <v>175</v>
      </c>
      <c r="B210" s="94" t="s">
        <v>312</v>
      </c>
      <c r="C210" s="90" t="s">
        <v>110</v>
      </c>
      <c r="D210" s="90" t="s">
        <v>436</v>
      </c>
      <c r="E210" s="90">
        <v>52564652</v>
      </c>
      <c r="F210" s="90">
        <v>52565710</v>
      </c>
      <c r="G210" s="90" t="s">
        <v>108</v>
      </c>
      <c r="H210" s="92">
        <v>3.4722222222222224E-4</v>
      </c>
      <c r="I210" s="93">
        <v>44636.478472222225</v>
      </c>
      <c r="J210" s="93">
        <v>44636.478472222225</v>
      </c>
      <c r="K210" s="93">
        <v>44636.333333333336</v>
      </c>
    </row>
    <row r="211" spans="1:11" x14ac:dyDescent="0.25">
      <c r="A211" s="70">
        <v>176</v>
      </c>
      <c r="B211" s="94" t="s">
        <v>266</v>
      </c>
      <c r="C211" s="90" t="s">
        <v>107</v>
      </c>
      <c r="D211" s="91"/>
      <c r="E211" s="90">
        <v>52565716</v>
      </c>
      <c r="F211" s="90">
        <v>52565710</v>
      </c>
      <c r="G211" s="90" t="s">
        <v>108</v>
      </c>
      <c r="H211" s="92">
        <v>2.3414351851851853E-2</v>
      </c>
      <c r="I211" s="93">
        <v>44636.477083333331</v>
      </c>
      <c r="J211" s="93">
        <v>44636.500694444447</v>
      </c>
      <c r="K211" s="93">
        <v>44636.333333333336</v>
      </c>
    </row>
    <row r="212" spans="1:11" x14ac:dyDescent="0.25">
      <c r="A212" s="69">
        <v>177</v>
      </c>
      <c r="B212" s="95" t="s">
        <v>274</v>
      </c>
      <c r="C212" s="90" t="s">
        <v>110</v>
      </c>
      <c r="D212" s="90" t="s">
        <v>436</v>
      </c>
      <c r="E212" s="90">
        <v>52564669</v>
      </c>
      <c r="F212" s="90">
        <v>52565716</v>
      </c>
      <c r="G212" s="90" t="s">
        <v>170</v>
      </c>
      <c r="H212" s="92">
        <v>0</v>
      </c>
      <c r="I212" s="91"/>
      <c r="J212" s="93">
        <v>44636.482638888891</v>
      </c>
      <c r="K212" s="93">
        <v>44636.333333333336</v>
      </c>
    </row>
    <row r="213" spans="1:11" x14ac:dyDescent="0.25">
      <c r="A213" s="70">
        <v>178</v>
      </c>
      <c r="B213" s="95" t="s">
        <v>273</v>
      </c>
      <c r="C213" s="90" t="s">
        <v>110</v>
      </c>
      <c r="D213" s="91"/>
      <c r="E213" s="90">
        <v>52564668</v>
      </c>
      <c r="F213" s="90">
        <v>52565716</v>
      </c>
      <c r="G213" s="90" t="s">
        <v>111</v>
      </c>
      <c r="H213" s="92">
        <v>0</v>
      </c>
      <c r="I213" s="91"/>
      <c r="J213" s="93">
        <v>44636.333333333336</v>
      </c>
      <c r="K213" s="93">
        <v>44636.333333333336</v>
      </c>
    </row>
    <row r="214" spans="1:11" x14ac:dyDescent="0.25">
      <c r="A214" s="69">
        <v>179</v>
      </c>
      <c r="B214" s="95" t="s">
        <v>267</v>
      </c>
      <c r="C214" s="90" t="s">
        <v>110</v>
      </c>
      <c r="D214" s="90" t="s">
        <v>437</v>
      </c>
      <c r="E214" s="90">
        <v>52564674</v>
      </c>
      <c r="F214" s="90">
        <v>52565716</v>
      </c>
      <c r="G214" s="90" t="s">
        <v>108</v>
      </c>
      <c r="H214" s="92">
        <v>0</v>
      </c>
      <c r="I214" s="93">
        <v>44636.500694444447</v>
      </c>
      <c r="J214" s="93">
        <v>44636.500694444447</v>
      </c>
      <c r="K214" s="93">
        <v>44636.333333333336</v>
      </c>
    </row>
    <row r="215" spans="1:11" x14ac:dyDescent="0.25">
      <c r="A215" s="70">
        <v>180</v>
      </c>
      <c r="B215" s="95" t="s">
        <v>276</v>
      </c>
      <c r="C215" s="90" t="s">
        <v>110</v>
      </c>
      <c r="D215" s="90" t="s">
        <v>437</v>
      </c>
      <c r="E215" s="90">
        <v>52564673</v>
      </c>
      <c r="F215" s="90">
        <v>52565716</v>
      </c>
      <c r="G215" s="90" t="s">
        <v>108</v>
      </c>
      <c r="H215" s="92">
        <v>5.0925925925925921E-4</v>
      </c>
      <c r="I215" s="93">
        <v>44636.5</v>
      </c>
      <c r="J215" s="93">
        <v>44636.500694444447</v>
      </c>
      <c r="K215" s="93">
        <v>44636.333333333336</v>
      </c>
    </row>
    <row r="216" spans="1:11" x14ac:dyDescent="0.25">
      <c r="A216" s="69">
        <v>181</v>
      </c>
      <c r="B216" s="95" t="s">
        <v>277</v>
      </c>
      <c r="C216" s="90" t="s">
        <v>110</v>
      </c>
      <c r="D216" s="90" t="s">
        <v>437</v>
      </c>
      <c r="E216" s="90">
        <v>52564672</v>
      </c>
      <c r="F216" s="90">
        <v>52565716</v>
      </c>
      <c r="G216" s="90" t="s">
        <v>108</v>
      </c>
      <c r="H216" s="92">
        <v>2.3148148148148147E-5</v>
      </c>
      <c r="I216" s="93">
        <v>44636.5</v>
      </c>
      <c r="J216" s="93">
        <v>44636.5</v>
      </c>
      <c r="K216" s="93">
        <v>44636.333333333336</v>
      </c>
    </row>
    <row r="217" spans="1:11" x14ac:dyDescent="0.25">
      <c r="A217" s="70">
        <v>182</v>
      </c>
      <c r="B217" s="95" t="s">
        <v>278</v>
      </c>
      <c r="C217" s="90" t="s">
        <v>110</v>
      </c>
      <c r="D217" s="90" t="s">
        <v>437</v>
      </c>
      <c r="E217" s="90">
        <v>52564671</v>
      </c>
      <c r="F217" s="90">
        <v>52565716</v>
      </c>
      <c r="G217" s="90" t="s">
        <v>108</v>
      </c>
      <c r="H217" s="92">
        <v>3.7152777777777774E-3</v>
      </c>
      <c r="I217" s="93">
        <v>44636.496527777781</v>
      </c>
      <c r="J217" s="93">
        <v>44636.5</v>
      </c>
      <c r="K217" s="93">
        <v>44636.333333333336</v>
      </c>
    </row>
    <row r="218" spans="1:11" x14ac:dyDescent="0.25">
      <c r="A218" s="69">
        <v>183</v>
      </c>
      <c r="B218" s="95" t="s">
        <v>279</v>
      </c>
      <c r="C218" s="90" t="s">
        <v>110</v>
      </c>
      <c r="D218" s="90" t="s">
        <v>436</v>
      </c>
      <c r="E218" s="90">
        <v>52564670</v>
      </c>
      <c r="F218" s="90">
        <v>52565716</v>
      </c>
      <c r="G218" s="90" t="s">
        <v>108</v>
      </c>
      <c r="H218" s="92">
        <v>3.4722222222222224E-4</v>
      </c>
      <c r="I218" s="93">
        <v>44636.495833333334</v>
      </c>
      <c r="J218" s="93">
        <v>44636.496527777781</v>
      </c>
      <c r="K218" s="93">
        <v>44636.333333333336</v>
      </c>
    </row>
    <row r="219" spans="1:11" x14ac:dyDescent="0.25">
      <c r="A219" s="70">
        <v>184</v>
      </c>
      <c r="B219" s="95" t="s">
        <v>284</v>
      </c>
      <c r="C219" s="90" t="s">
        <v>110</v>
      </c>
      <c r="D219" s="91"/>
      <c r="E219" s="90">
        <v>52564654</v>
      </c>
      <c r="F219" s="90">
        <v>52565716</v>
      </c>
      <c r="G219" s="90" t="s">
        <v>111</v>
      </c>
      <c r="H219" s="92">
        <v>0</v>
      </c>
      <c r="I219" s="91"/>
      <c r="J219" s="93">
        <v>44636.333333333336</v>
      </c>
      <c r="K219" s="93">
        <v>44636.333333333336</v>
      </c>
    </row>
    <row r="220" spans="1:11" x14ac:dyDescent="0.25">
      <c r="A220" s="69">
        <v>185</v>
      </c>
      <c r="B220" s="95" t="s">
        <v>281</v>
      </c>
      <c r="C220" s="90" t="s">
        <v>110</v>
      </c>
      <c r="D220" s="90" t="s">
        <v>436</v>
      </c>
      <c r="E220" s="90">
        <v>52564656</v>
      </c>
      <c r="F220" s="90">
        <v>52565716</v>
      </c>
      <c r="G220" s="90" t="s">
        <v>170</v>
      </c>
      <c r="H220" s="92">
        <v>0</v>
      </c>
      <c r="I220" s="91"/>
      <c r="J220" s="93">
        <v>44636.481249999997</v>
      </c>
      <c r="K220" s="93">
        <v>44636.333333333336</v>
      </c>
    </row>
    <row r="221" spans="1:11" x14ac:dyDescent="0.25">
      <c r="A221" s="70">
        <v>186</v>
      </c>
      <c r="B221" s="95" t="s">
        <v>269</v>
      </c>
      <c r="C221" s="90" t="s">
        <v>110</v>
      </c>
      <c r="D221" s="90" t="s">
        <v>436</v>
      </c>
      <c r="E221" s="90">
        <v>52564658</v>
      </c>
      <c r="F221" s="90">
        <v>52565716</v>
      </c>
      <c r="G221" s="90" t="s">
        <v>170</v>
      </c>
      <c r="H221" s="92">
        <v>0</v>
      </c>
      <c r="I221" s="91"/>
      <c r="J221" s="93">
        <v>44636.481249999997</v>
      </c>
      <c r="K221" s="93">
        <v>44636.333333333336</v>
      </c>
    </row>
    <row r="222" spans="1:11" x14ac:dyDescent="0.25">
      <c r="A222" s="69">
        <v>187</v>
      </c>
      <c r="B222" s="95" t="s">
        <v>271</v>
      </c>
      <c r="C222" s="90" t="s">
        <v>110</v>
      </c>
      <c r="D222" s="90" t="s">
        <v>436</v>
      </c>
      <c r="E222" s="90">
        <v>52564657</v>
      </c>
      <c r="F222" s="90">
        <v>52565716</v>
      </c>
      <c r="G222" s="90" t="s">
        <v>170</v>
      </c>
      <c r="H222" s="92">
        <v>0</v>
      </c>
      <c r="I222" s="91"/>
      <c r="J222" s="93">
        <v>44636.481249999997</v>
      </c>
      <c r="K222" s="93">
        <v>44636.333333333336</v>
      </c>
    </row>
    <row r="223" spans="1:11" x14ac:dyDescent="0.25">
      <c r="A223" s="70">
        <v>188</v>
      </c>
      <c r="B223" s="95" t="s">
        <v>275</v>
      </c>
      <c r="C223" s="90" t="s">
        <v>110</v>
      </c>
      <c r="D223" s="90" t="s">
        <v>436</v>
      </c>
      <c r="E223" s="90">
        <v>52564667</v>
      </c>
      <c r="F223" s="90">
        <v>52565716</v>
      </c>
      <c r="G223" s="90" t="s">
        <v>170</v>
      </c>
      <c r="H223" s="92">
        <v>0</v>
      </c>
      <c r="I223" s="91"/>
      <c r="J223" s="93">
        <v>44636.482638888891</v>
      </c>
      <c r="K223" s="93">
        <v>44636.333333333336</v>
      </c>
    </row>
    <row r="224" spans="1:11" x14ac:dyDescent="0.25">
      <c r="A224" s="69">
        <v>189</v>
      </c>
      <c r="B224" s="95" t="s">
        <v>268</v>
      </c>
      <c r="C224" s="90" t="s">
        <v>107</v>
      </c>
      <c r="D224" s="91"/>
      <c r="E224" s="90">
        <v>52564664</v>
      </c>
      <c r="F224" s="90">
        <v>52565716</v>
      </c>
      <c r="G224" s="90" t="s">
        <v>170</v>
      </c>
      <c r="H224" s="92">
        <v>0</v>
      </c>
      <c r="I224" s="91"/>
      <c r="J224" s="93">
        <v>44636.482638888891</v>
      </c>
      <c r="K224" s="93">
        <v>44636.333333333336</v>
      </c>
    </row>
    <row r="225" spans="1:11" x14ac:dyDescent="0.25">
      <c r="A225" s="70">
        <v>190</v>
      </c>
      <c r="B225" s="95" t="s">
        <v>272</v>
      </c>
      <c r="C225" s="90" t="s">
        <v>110</v>
      </c>
      <c r="D225" s="90" t="s">
        <v>436</v>
      </c>
      <c r="E225" s="90">
        <v>52564663</v>
      </c>
      <c r="F225" s="90">
        <v>52565716</v>
      </c>
      <c r="G225" s="90" t="s">
        <v>170</v>
      </c>
      <c r="H225" s="92">
        <v>0</v>
      </c>
      <c r="I225" s="91"/>
      <c r="J225" s="93">
        <v>44636.495833333334</v>
      </c>
      <c r="K225" s="93">
        <v>44636.333333333336</v>
      </c>
    </row>
    <row r="226" spans="1:11" x14ac:dyDescent="0.25">
      <c r="A226" s="69">
        <v>191</v>
      </c>
      <c r="B226" s="95" t="s">
        <v>270</v>
      </c>
      <c r="C226" s="90" t="s">
        <v>107</v>
      </c>
      <c r="D226" s="91"/>
      <c r="E226" s="90">
        <v>52564659</v>
      </c>
      <c r="F226" s="90">
        <v>52565716</v>
      </c>
      <c r="G226" s="90" t="s">
        <v>108</v>
      </c>
      <c r="H226" s="92">
        <v>1.0648148148148147E-3</v>
      </c>
      <c r="I226" s="93">
        <v>44636.481249999997</v>
      </c>
      <c r="J226" s="93">
        <v>44636.482638888891</v>
      </c>
      <c r="K226" s="93">
        <v>44636.333333333336</v>
      </c>
    </row>
    <row r="227" spans="1:11" x14ac:dyDescent="0.25">
      <c r="A227" s="70">
        <v>192</v>
      </c>
      <c r="B227" s="95" t="s">
        <v>287</v>
      </c>
      <c r="C227" s="90" t="s">
        <v>110</v>
      </c>
      <c r="D227" s="90" t="s">
        <v>436</v>
      </c>
      <c r="E227" s="90">
        <v>52567269</v>
      </c>
      <c r="F227" s="90">
        <v>52565716</v>
      </c>
      <c r="G227" s="90" t="s">
        <v>108</v>
      </c>
      <c r="H227" s="92">
        <v>3.4722222222222224E-4</v>
      </c>
      <c r="I227" s="93">
        <v>44636.480555555558</v>
      </c>
      <c r="J227" s="93">
        <v>44636.481249999997</v>
      </c>
      <c r="K227" s="93">
        <v>44636.333333333336</v>
      </c>
    </row>
    <row r="228" spans="1:11" x14ac:dyDescent="0.25">
      <c r="A228" s="69">
        <v>193</v>
      </c>
      <c r="B228" s="95" t="s">
        <v>293</v>
      </c>
      <c r="C228" s="90" t="s">
        <v>110</v>
      </c>
      <c r="D228" s="90" t="s">
        <v>436</v>
      </c>
      <c r="E228" s="90">
        <v>52564655</v>
      </c>
      <c r="F228" s="90">
        <v>52565716</v>
      </c>
      <c r="G228" s="90" t="s">
        <v>108</v>
      </c>
      <c r="H228" s="92">
        <v>1.4004629629629629E-3</v>
      </c>
      <c r="I228" s="93">
        <v>44636.479861111111</v>
      </c>
      <c r="J228" s="93">
        <v>44636.481249999997</v>
      </c>
      <c r="K228" s="93">
        <v>44636.333333333336</v>
      </c>
    </row>
    <row r="229" spans="1:11" x14ac:dyDescent="0.25">
      <c r="A229" s="70">
        <v>194</v>
      </c>
      <c r="B229" s="95" t="s">
        <v>82</v>
      </c>
      <c r="C229" s="90" t="s">
        <v>110</v>
      </c>
      <c r="D229" s="90" t="s">
        <v>436</v>
      </c>
      <c r="E229" s="90">
        <v>52566744</v>
      </c>
      <c r="F229" s="90">
        <v>52565716</v>
      </c>
      <c r="G229" s="90" t="s">
        <v>108</v>
      </c>
      <c r="H229" s="92">
        <v>1.6666666666666666E-2</v>
      </c>
      <c r="I229" s="93">
        <v>44636.479166666664</v>
      </c>
      <c r="J229" s="93">
        <v>44636.495833333334</v>
      </c>
      <c r="K229" s="93">
        <v>44636.333333333336</v>
      </c>
    </row>
    <row r="230" spans="1:11" x14ac:dyDescent="0.25">
      <c r="A230" s="69">
        <v>195</v>
      </c>
      <c r="B230" s="95" t="s">
        <v>285</v>
      </c>
      <c r="C230" s="90" t="s">
        <v>110</v>
      </c>
      <c r="D230" s="90" t="s">
        <v>436</v>
      </c>
      <c r="E230" s="90">
        <v>52567267</v>
      </c>
      <c r="F230" s="90">
        <v>52565716</v>
      </c>
      <c r="G230" s="90" t="s">
        <v>170</v>
      </c>
      <c r="H230" s="92">
        <v>0</v>
      </c>
      <c r="I230" s="91"/>
      <c r="J230" s="93">
        <v>44636.479861111111</v>
      </c>
      <c r="K230" s="93">
        <v>44636.333333333336</v>
      </c>
    </row>
    <row r="231" spans="1:11" x14ac:dyDescent="0.25">
      <c r="A231" s="70">
        <v>196</v>
      </c>
      <c r="B231" s="95" t="s">
        <v>280</v>
      </c>
      <c r="C231" s="90" t="s">
        <v>110</v>
      </c>
      <c r="D231" s="91"/>
      <c r="E231" s="90">
        <v>52566736</v>
      </c>
      <c r="F231" s="90">
        <v>52565716</v>
      </c>
      <c r="G231" s="90" t="s">
        <v>111</v>
      </c>
      <c r="H231" s="92">
        <v>0</v>
      </c>
      <c r="I231" s="91"/>
      <c r="J231" s="93">
        <v>44636.333333333336</v>
      </c>
      <c r="K231" s="93">
        <v>44636.333333333336</v>
      </c>
    </row>
    <row r="232" spans="1:11" x14ac:dyDescent="0.25">
      <c r="A232" s="69">
        <v>197</v>
      </c>
      <c r="B232" s="95" t="s">
        <v>296</v>
      </c>
      <c r="C232" s="90" t="s">
        <v>110</v>
      </c>
      <c r="D232" s="90" t="s">
        <v>436</v>
      </c>
      <c r="E232" s="90">
        <v>52567263</v>
      </c>
      <c r="F232" s="90">
        <v>52565716</v>
      </c>
      <c r="G232" s="90" t="s">
        <v>170</v>
      </c>
      <c r="H232" s="92">
        <v>0</v>
      </c>
      <c r="I232" s="91"/>
      <c r="J232" s="93">
        <v>44636.479861111111</v>
      </c>
      <c r="K232" s="93">
        <v>44636.333333333336</v>
      </c>
    </row>
    <row r="233" spans="1:11" x14ac:dyDescent="0.25">
      <c r="A233" s="70">
        <v>198</v>
      </c>
      <c r="B233" s="95" t="s">
        <v>282</v>
      </c>
      <c r="C233" s="90" t="s">
        <v>110</v>
      </c>
      <c r="D233" s="91"/>
      <c r="E233" s="90">
        <v>52566742</v>
      </c>
      <c r="F233" s="90">
        <v>52565716</v>
      </c>
      <c r="G233" s="90" t="s">
        <v>111</v>
      </c>
      <c r="H233" s="92">
        <v>0</v>
      </c>
      <c r="I233" s="91"/>
      <c r="J233" s="93">
        <v>44636.333333333336</v>
      </c>
      <c r="K233" s="93">
        <v>44636.333333333336</v>
      </c>
    </row>
    <row r="234" spans="1:11" x14ac:dyDescent="0.25">
      <c r="A234" s="69">
        <v>199</v>
      </c>
      <c r="B234" s="95" t="s">
        <v>283</v>
      </c>
      <c r="C234" s="90" t="s">
        <v>110</v>
      </c>
      <c r="D234" s="90" t="s">
        <v>436</v>
      </c>
      <c r="E234" s="90">
        <v>52567266</v>
      </c>
      <c r="F234" s="90">
        <v>52565716</v>
      </c>
      <c r="G234" s="90" t="s">
        <v>170</v>
      </c>
      <c r="H234" s="92">
        <v>0</v>
      </c>
      <c r="I234" s="91"/>
      <c r="J234" s="93">
        <v>44636.479861111111</v>
      </c>
      <c r="K234" s="93">
        <v>44636.333333333336</v>
      </c>
    </row>
    <row r="235" spans="1:11" x14ac:dyDescent="0.25">
      <c r="A235" s="70">
        <v>200</v>
      </c>
      <c r="B235" s="95" t="s">
        <v>300</v>
      </c>
      <c r="C235" s="90" t="s">
        <v>110</v>
      </c>
      <c r="D235" s="91"/>
      <c r="E235" s="90">
        <v>52567260</v>
      </c>
      <c r="F235" s="90">
        <v>52565716</v>
      </c>
      <c r="G235" s="90" t="s">
        <v>111</v>
      </c>
      <c r="H235" s="92">
        <v>0</v>
      </c>
      <c r="I235" s="91"/>
      <c r="J235" s="93">
        <v>44636.333333333336</v>
      </c>
      <c r="K235" s="93">
        <v>44636.333333333336</v>
      </c>
    </row>
    <row r="236" spans="1:11" x14ac:dyDescent="0.25">
      <c r="A236" s="69">
        <v>201</v>
      </c>
      <c r="B236" s="95" t="s">
        <v>286</v>
      </c>
      <c r="C236" s="90" t="s">
        <v>110</v>
      </c>
      <c r="D236" s="90" t="s">
        <v>436</v>
      </c>
      <c r="E236" s="90">
        <v>52566739</v>
      </c>
      <c r="F236" s="90">
        <v>52565716</v>
      </c>
      <c r="G236" s="90" t="s">
        <v>108</v>
      </c>
      <c r="H236" s="92">
        <v>3.4722222222222224E-4</v>
      </c>
      <c r="I236" s="93">
        <v>44636.480555555558</v>
      </c>
      <c r="J236" s="93">
        <v>44636.481249999997</v>
      </c>
      <c r="K236" s="93">
        <v>44636.333333333336</v>
      </c>
    </row>
    <row r="237" spans="1:11" x14ac:dyDescent="0.25">
      <c r="A237" s="70">
        <v>202</v>
      </c>
      <c r="B237" s="95" t="s">
        <v>288</v>
      </c>
      <c r="C237" s="90" t="s">
        <v>110</v>
      </c>
      <c r="D237" s="90" t="s">
        <v>436</v>
      </c>
      <c r="E237" s="90">
        <v>52567265</v>
      </c>
      <c r="F237" s="90">
        <v>52565716</v>
      </c>
      <c r="G237" s="90" t="s">
        <v>108</v>
      </c>
      <c r="H237" s="92">
        <v>3.4722222222222224E-4</v>
      </c>
      <c r="I237" s="93">
        <v>44636.480555555558</v>
      </c>
      <c r="J237" s="93">
        <v>44636.481249999997</v>
      </c>
      <c r="K237" s="93">
        <v>44636.333333333336</v>
      </c>
    </row>
    <row r="238" spans="1:11" x14ac:dyDescent="0.25">
      <c r="A238" s="69">
        <v>203</v>
      </c>
      <c r="B238" s="95" t="s">
        <v>290</v>
      </c>
      <c r="C238" s="90" t="s">
        <v>110</v>
      </c>
      <c r="D238" s="90" t="s">
        <v>436</v>
      </c>
      <c r="E238" s="90">
        <v>52566735</v>
      </c>
      <c r="F238" s="90">
        <v>52565716</v>
      </c>
      <c r="G238" s="90" t="s">
        <v>108</v>
      </c>
      <c r="H238" s="92">
        <v>3.4722222222222224E-4</v>
      </c>
      <c r="I238" s="93">
        <v>44636.480555555558</v>
      </c>
      <c r="J238" s="93">
        <v>44636.480555555558</v>
      </c>
      <c r="K238" s="93">
        <v>44636.333333333336</v>
      </c>
    </row>
    <row r="239" spans="1:11" x14ac:dyDescent="0.25">
      <c r="A239" s="70">
        <v>204</v>
      </c>
      <c r="B239" s="95" t="s">
        <v>289</v>
      </c>
      <c r="C239" s="90" t="s">
        <v>110</v>
      </c>
      <c r="D239" s="90" t="s">
        <v>436</v>
      </c>
      <c r="E239" s="90">
        <v>52566738</v>
      </c>
      <c r="F239" s="90">
        <v>52565716</v>
      </c>
      <c r="G239" s="90" t="s">
        <v>108</v>
      </c>
      <c r="H239" s="92">
        <v>3.5879629629629635E-4</v>
      </c>
      <c r="I239" s="93">
        <v>44636.480555555558</v>
      </c>
      <c r="J239" s="93">
        <v>44636.480555555558</v>
      </c>
      <c r="K239" s="93">
        <v>44636.333333333336</v>
      </c>
    </row>
    <row r="240" spans="1:11" x14ac:dyDescent="0.25">
      <c r="A240" s="69">
        <v>205</v>
      </c>
      <c r="B240" s="95" t="s">
        <v>301</v>
      </c>
      <c r="C240" s="90" t="s">
        <v>110</v>
      </c>
      <c r="D240" s="90" t="s">
        <v>436</v>
      </c>
      <c r="E240" s="90">
        <v>52567264</v>
      </c>
      <c r="F240" s="90">
        <v>52565716</v>
      </c>
      <c r="G240" s="90" t="s">
        <v>108</v>
      </c>
      <c r="H240" s="92">
        <v>3.4722222222222224E-4</v>
      </c>
      <c r="I240" s="93">
        <v>44636.480555555558</v>
      </c>
      <c r="J240" s="93">
        <v>44636.480555555558</v>
      </c>
      <c r="K240" s="93">
        <v>44636.333333333336</v>
      </c>
    </row>
    <row r="241" spans="1:11" x14ac:dyDescent="0.25">
      <c r="A241" s="70">
        <v>206</v>
      </c>
      <c r="B241" s="95" t="s">
        <v>292</v>
      </c>
      <c r="C241" s="90" t="s">
        <v>110</v>
      </c>
      <c r="D241" s="90" t="s">
        <v>436</v>
      </c>
      <c r="E241" s="90">
        <v>52566737</v>
      </c>
      <c r="F241" s="90">
        <v>52565716</v>
      </c>
      <c r="G241" s="90" t="s">
        <v>108</v>
      </c>
      <c r="H241" s="92">
        <v>3.4722222222222224E-4</v>
      </c>
      <c r="I241" s="93">
        <v>44636.479861111111</v>
      </c>
      <c r="J241" s="93">
        <v>44636.480555555558</v>
      </c>
      <c r="K241" s="93">
        <v>44636.333333333336</v>
      </c>
    </row>
    <row r="242" spans="1:11" x14ac:dyDescent="0.25">
      <c r="A242" s="69">
        <v>207</v>
      </c>
      <c r="B242" s="95" t="s">
        <v>291</v>
      </c>
      <c r="C242" s="90" t="s">
        <v>110</v>
      </c>
      <c r="D242" s="90" t="s">
        <v>436</v>
      </c>
      <c r="E242" s="90">
        <v>52567268</v>
      </c>
      <c r="F242" s="90">
        <v>52565716</v>
      </c>
      <c r="G242" s="90" t="s">
        <v>108</v>
      </c>
      <c r="H242" s="92">
        <v>3.5879629629629635E-4</v>
      </c>
      <c r="I242" s="93">
        <v>44636.479861111111</v>
      </c>
      <c r="J242" s="93">
        <v>44636.480555555558</v>
      </c>
      <c r="K242" s="93">
        <v>44636.333333333336</v>
      </c>
    </row>
    <row r="243" spans="1:11" x14ac:dyDescent="0.25">
      <c r="A243" s="70">
        <v>208</v>
      </c>
      <c r="B243" s="95" t="s">
        <v>81</v>
      </c>
      <c r="C243" s="90" t="s">
        <v>110</v>
      </c>
      <c r="D243" s="90" t="s">
        <v>437</v>
      </c>
      <c r="E243" s="90">
        <v>52566741</v>
      </c>
      <c r="F243" s="90">
        <v>52565716</v>
      </c>
      <c r="G243" s="90" t="s">
        <v>108</v>
      </c>
      <c r="H243" s="92">
        <v>4.7453703703703704E-4</v>
      </c>
      <c r="I243" s="93">
        <v>44636.479861111111</v>
      </c>
      <c r="J243" s="93">
        <v>44636.480555555558</v>
      </c>
      <c r="K243" s="93">
        <v>44636.333333333336</v>
      </c>
    </row>
    <row r="244" spans="1:11" x14ac:dyDescent="0.25">
      <c r="A244" s="69">
        <v>209</v>
      </c>
      <c r="B244" s="95" t="s">
        <v>302</v>
      </c>
      <c r="C244" s="90" t="s">
        <v>110</v>
      </c>
      <c r="D244" s="90" t="s">
        <v>436</v>
      </c>
      <c r="E244" s="90">
        <v>52567262</v>
      </c>
      <c r="F244" s="90">
        <v>52565716</v>
      </c>
      <c r="G244" s="90" t="s">
        <v>108</v>
      </c>
      <c r="H244" s="92">
        <v>3.5879629629629635E-4</v>
      </c>
      <c r="I244" s="93">
        <v>44636.479861111111</v>
      </c>
      <c r="J244" s="93">
        <v>44636.480555555558</v>
      </c>
      <c r="K244" s="93">
        <v>44636.333333333336</v>
      </c>
    </row>
    <row r="245" spans="1:11" x14ac:dyDescent="0.25">
      <c r="A245" s="70">
        <v>210</v>
      </c>
      <c r="B245" s="95" t="s">
        <v>303</v>
      </c>
      <c r="C245" s="90" t="s">
        <v>110</v>
      </c>
      <c r="D245" s="90" t="s">
        <v>436</v>
      </c>
      <c r="E245" s="90">
        <v>52567261</v>
      </c>
      <c r="F245" s="90">
        <v>52565716</v>
      </c>
      <c r="G245" s="90" t="s">
        <v>108</v>
      </c>
      <c r="H245" s="92">
        <v>3.4722222222222224E-4</v>
      </c>
      <c r="I245" s="93">
        <v>44636.479861111111</v>
      </c>
      <c r="J245" s="93">
        <v>44636.479861111111</v>
      </c>
      <c r="K245" s="93">
        <v>44636.333333333336</v>
      </c>
    </row>
    <row r="246" spans="1:11" x14ac:dyDescent="0.25">
      <c r="A246" s="69">
        <v>211</v>
      </c>
      <c r="B246" s="95" t="s">
        <v>294</v>
      </c>
      <c r="C246" s="90" t="s">
        <v>110</v>
      </c>
      <c r="D246" s="90" t="s">
        <v>436</v>
      </c>
      <c r="E246" s="90">
        <v>52566743</v>
      </c>
      <c r="F246" s="90">
        <v>52565716</v>
      </c>
      <c r="G246" s="90" t="s">
        <v>108</v>
      </c>
      <c r="H246" s="92">
        <v>6.9444444444444447E-4</v>
      </c>
      <c r="I246" s="93">
        <v>44636.479166666664</v>
      </c>
      <c r="J246" s="93">
        <v>44636.479861111111</v>
      </c>
      <c r="K246" s="93">
        <v>44636.333333333336</v>
      </c>
    </row>
    <row r="247" spans="1:11" x14ac:dyDescent="0.25">
      <c r="A247" s="70">
        <v>212</v>
      </c>
      <c r="B247" s="95" t="s">
        <v>295</v>
      </c>
      <c r="C247" s="90" t="s">
        <v>110</v>
      </c>
      <c r="D247" s="90" t="s">
        <v>436</v>
      </c>
      <c r="E247" s="90">
        <v>52566740</v>
      </c>
      <c r="F247" s="90">
        <v>52565716</v>
      </c>
      <c r="G247" s="90" t="s">
        <v>108</v>
      </c>
      <c r="H247" s="92">
        <v>7.0601851851851847E-4</v>
      </c>
      <c r="I247" s="93">
        <v>44636.479166666664</v>
      </c>
      <c r="J247" s="93">
        <v>44636.479861111111</v>
      </c>
      <c r="K247" s="93">
        <v>44636.333333333336</v>
      </c>
    </row>
    <row r="248" spans="1:11" x14ac:dyDescent="0.25">
      <c r="A248" s="69">
        <v>213</v>
      </c>
      <c r="B248" s="95" t="s">
        <v>297</v>
      </c>
      <c r="C248" s="90" t="s">
        <v>110</v>
      </c>
      <c r="D248" s="91"/>
      <c r="E248" s="90">
        <v>52567254</v>
      </c>
      <c r="F248" s="90">
        <v>52565716</v>
      </c>
      <c r="G248" s="90" t="s">
        <v>111</v>
      </c>
      <c r="H248" s="92">
        <v>0</v>
      </c>
      <c r="I248" s="91"/>
      <c r="J248" s="93">
        <v>44636.333333333336</v>
      </c>
      <c r="K248" s="93">
        <v>44636.333333333336</v>
      </c>
    </row>
    <row r="249" spans="1:11" x14ac:dyDescent="0.25">
      <c r="A249" s="70">
        <v>214</v>
      </c>
      <c r="B249" s="95" t="s">
        <v>299</v>
      </c>
      <c r="C249" s="90" t="s">
        <v>110</v>
      </c>
      <c r="D249" s="91"/>
      <c r="E249" s="90">
        <v>52567250</v>
      </c>
      <c r="F249" s="90">
        <v>52565716</v>
      </c>
      <c r="G249" s="90" t="s">
        <v>111</v>
      </c>
      <c r="H249" s="92">
        <v>0</v>
      </c>
      <c r="I249" s="91"/>
      <c r="J249" s="93">
        <v>44636.333333333336</v>
      </c>
      <c r="K249" s="93">
        <v>44636.333333333336</v>
      </c>
    </row>
    <row r="250" spans="1:11" x14ac:dyDescent="0.25">
      <c r="A250" s="69">
        <v>215</v>
      </c>
      <c r="B250" s="95" t="s">
        <v>298</v>
      </c>
      <c r="C250" s="90" t="s">
        <v>110</v>
      </c>
      <c r="D250" s="91"/>
      <c r="E250" s="90">
        <v>52567252</v>
      </c>
      <c r="F250" s="90">
        <v>52565716</v>
      </c>
      <c r="G250" s="90" t="s">
        <v>111</v>
      </c>
      <c r="H250" s="92">
        <v>0</v>
      </c>
      <c r="I250" s="91"/>
      <c r="J250" s="93">
        <v>44636.333333333336</v>
      </c>
      <c r="K250" s="93">
        <v>44636.333333333336</v>
      </c>
    </row>
    <row r="251" spans="1:11" x14ac:dyDescent="0.25">
      <c r="A251" s="70">
        <v>216</v>
      </c>
      <c r="B251" s="95" t="s">
        <v>304</v>
      </c>
      <c r="C251" s="90" t="s">
        <v>110</v>
      </c>
      <c r="D251" s="90" t="s">
        <v>436</v>
      </c>
      <c r="E251" s="90">
        <v>52567255</v>
      </c>
      <c r="F251" s="90">
        <v>52565716</v>
      </c>
      <c r="G251" s="90" t="s">
        <v>108</v>
      </c>
      <c r="H251" s="92">
        <v>6.9444444444444447E-4</v>
      </c>
      <c r="I251" s="93">
        <v>44636.479166666664</v>
      </c>
      <c r="J251" s="93">
        <v>44636.479861111111</v>
      </c>
      <c r="K251" s="93">
        <v>44636.333333333336</v>
      </c>
    </row>
    <row r="252" spans="1:11" x14ac:dyDescent="0.25">
      <c r="A252" s="69">
        <v>217</v>
      </c>
      <c r="B252" s="95" t="s">
        <v>305</v>
      </c>
      <c r="C252" s="90" t="s">
        <v>110</v>
      </c>
      <c r="D252" s="90" t="s">
        <v>436</v>
      </c>
      <c r="E252" s="90">
        <v>52567259</v>
      </c>
      <c r="F252" s="90">
        <v>52565716</v>
      </c>
      <c r="G252" s="90" t="s">
        <v>108</v>
      </c>
      <c r="H252" s="92">
        <v>3.4722222222222224E-4</v>
      </c>
      <c r="I252" s="93">
        <v>44636.479166666664</v>
      </c>
      <c r="J252" s="93">
        <v>44636.479861111111</v>
      </c>
      <c r="K252" s="93">
        <v>44636.333333333336</v>
      </c>
    </row>
    <row r="253" spans="1:11" x14ac:dyDescent="0.25">
      <c r="A253" s="70">
        <v>218</v>
      </c>
      <c r="B253" s="95" t="s">
        <v>308</v>
      </c>
      <c r="C253" s="90" t="s">
        <v>110</v>
      </c>
      <c r="D253" s="90" t="s">
        <v>436</v>
      </c>
      <c r="E253" s="90">
        <v>52567257</v>
      </c>
      <c r="F253" s="90">
        <v>52565716</v>
      </c>
      <c r="G253" s="90" t="s">
        <v>108</v>
      </c>
      <c r="H253" s="92">
        <v>3.4722222222222224E-4</v>
      </c>
      <c r="I253" s="93">
        <v>44636.479166666664</v>
      </c>
      <c r="J253" s="93">
        <v>44636.479861111111</v>
      </c>
      <c r="K253" s="93">
        <v>44636.333333333336</v>
      </c>
    </row>
    <row r="254" spans="1:11" x14ac:dyDescent="0.25">
      <c r="A254" s="69">
        <v>219</v>
      </c>
      <c r="B254" s="95" t="s">
        <v>306</v>
      </c>
      <c r="C254" s="90" t="s">
        <v>110</v>
      </c>
      <c r="D254" s="90" t="s">
        <v>436</v>
      </c>
      <c r="E254" s="90">
        <v>52567256</v>
      </c>
      <c r="F254" s="90">
        <v>52565716</v>
      </c>
      <c r="G254" s="90" t="s">
        <v>108</v>
      </c>
      <c r="H254" s="92">
        <v>3.4722222222222224E-4</v>
      </c>
      <c r="I254" s="93">
        <v>44636.479166666664</v>
      </c>
      <c r="J254" s="93">
        <v>44636.479861111111</v>
      </c>
      <c r="K254" s="93">
        <v>44636.333333333336</v>
      </c>
    </row>
    <row r="255" spans="1:11" x14ac:dyDescent="0.25">
      <c r="A255" s="70">
        <v>220</v>
      </c>
      <c r="B255" s="95" t="s">
        <v>307</v>
      </c>
      <c r="C255" s="90" t="s">
        <v>110</v>
      </c>
      <c r="D255" s="90" t="s">
        <v>436</v>
      </c>
      <c r="E255" s="90">
        <v>52567258</v>
      </c>
      <c r="F255" s="90">
        <v>52565716</v>
      </c>
      <c r="G255" s="90" t="s">
        <v>108</v>
      </c>
      <c r="H255" s="92">
        <v>3.4722222222222224E-4</v>
      </c>
      <c r="I255" s="93">
        <v>44636.479166666664</v>
      </c>
      <c r="J255" s="93">
        <v>44636.479861111111</v>
      </c>
      <c r="K255" s="93">
        <v>44636.333333333336</v>
      </c>
    </row>
    <row r="256" spans="1:11" x14ac:dyDescent="0.25">
      <c r="A256" s="69">
        <v>221</v>
      </c>
      <c r="B256" s="95" t="s">
        <v>310</v>
      </c>
      <c r="C256" s="90" t="s">
        <v>110</v>
      </c>
      <c r="D256" s="90" t="s">
        <v>436</v>
      </c>
      <c r="E256" s="90">
        <v>52567253</v>
      </c>
      <c r="F256" s="90">
        <v>52565716</v>
      </c>
      <c r="G256" s="90" t="s">
        <v>108</v>
      </c>
      <c r="H256" s="92">
        <v>2.0833333333333333E-3</v>
      </c>
      <c r="I256" s="93">
        <v>44636.477083333331</v>
      </c>
      <c r="J256" s="93">
        <v>44636.479166666664</v>
      </c>
      <c r="K256" s="93">
        <v>44636.333333333336</v>
      </c>
    </row>
    <row r="257" spans="1:11" x14ac:dyDescent="0.25">
      <c r="A257" s="70">
        <v>222</v>
      </c>
      <c r="B257" s="95" t="s">
        <v>309</v>
      </c>
      <c r="C257" s="90" t="s">
        <v>110</v>
      </c>
      <c r="D257" s="90" t="s">
        <v>436</v>
      </c>
      <c r="E257" s="90">
        <v>52567251</v>
      </c>
      <c r="F257" s="90">
        <v>52565716</v>
      </c>
      <c r="G257" s="90" t="s">
        <v>108</v>
      </c>
      <c r="H257" s="92">
        <v>3.4722222222222224E-4</v>
      </c>
      <c r="I257" s="93">
        <v>44636.477083333331</v>
      </c>
      <c r="J257" s="93">
        <v>44636.477777777778</v>
      </c>
      <c r="K257" s="93">
        <v>44636.333333333336</v>
      </c>
    </row>
    <row r="258" spans="1:11" x14ac:dyDescent="0.25">
      <c r="A258" s="69">
        <v>223</v>
      </c>
      <c r="B258" s="94" t="s">
        <v>315</v>
      </c>
      <c r="C258" s="90" t="s">
        <v>107</v>
      </c>
      <c r="D258" s="91"/>
      <c r="E258" s="90">
        <v>52565713</v>
      </c>
      <c r="F258" s="90">
        <v>52565710</v>
      </c>
      <c r="G258" s="90" t="s">
        <v>108</v>
      </c>
      <c r="H258" s="92">
        <v>6.5046296296296302E-3</v>
      </c>
      <c r="I258" s="93">
        <v>44636.477083333331</v>
      </c>
      <c r="J258" s="93">
        <v>44636.484027777777</v>
      </c>
      <c r="K258" s="93">
        <v>44636.333333333336</v>
      </c>
    </row>
    <row r="259" spans="1:11" x14ac:dyDescent="0.25">
      <c r="A259" s="70">
        <v>224</v>
      </c>
      <c r="B259" s="94" t="s">
        <v>313</v>
      </c>
      <c r="C259" s="90" t="s">
        <v>110</v>
      </c>
      <c r="D259" s="90" t="s">
        <v>436</v>
      </c>
      <c r="E259" s="90">
        <v>52565711</v>
      </c>
      <c r="F259" s="90">
        <v>52565710</v>
      </c>
      <c r="G259" s="90" t="s">
        <v>170</v>
      </c>
      <c r="H259" s="92">
        <v>0</v>
      </c>
      <c r="I259" s="91"/>
      <c r="J259" s="93">
        <v>44636.477083333331</v>
      </c>
      <c r="K259" s="93">
        <v>44636.333333333336</v>
      </c>
    </row>
    <row r="260" spans="1:11" x14ac:dyDescent="0.25">
      <c r="A260" s="69">
        <v>225</v>
      </c>
      <c r="B260" s="94" t="s">
        <v>314</v>
      </c>
      <c r="C260" s="90" t="s">
        <v>110</v>
      </c>
      <c r="D260" s="90" t="s">
        <v>436</v>
      </c>
      <c r="E260" s="90">
        <v>52565712</v>
      </c>
      <c r="F260" s="90">
        <v>52565710</v>
      </c>
      <c r="G260" s="90" t="s">
        <v>108</v>
      </c>
      <c r="H260" s="92">
        <v>1.0416666666666667E-3</v>
      </c>
      <c r="I260" s="93">
        <v>44636.477083333331</v>
      </c>
      <c r="J260" s="93">
        <v>44636.478472222225</v>
      </c>
      <c r="K260" s="93">
        <v>44636.333333333336</v>
      </c>
    </row>
    <row r="261" spans="1:11" x14ac:dyDescent="0.25">
      <c r="A261" s="70">
        <v>226</v>
      </c>
      <c r="B261" s="89" t="s">
        <v>84</v>
      </c>
      <c r="C261" s="90" t="s">
        <v>107</v>
      </c>
      <c r="D261" s="91"/>
      <c r="E261" s="90">
        <v>52564676</v>
      </c>
      <c r="F261" s="90">
        <v>52565645</v>
      </c>
      <c r="G261" s="90" t="s">
        <v>108</v>
      </c>
      <c r="H261" s="92">
        <v>4.6921296296296294E-2</v>
      </c>
      <c r="I261" s="93">
        <v>44636.500694444447</v>
      </c>
      <c r="J261" s="93">
        <v>44636.547222222223</v>
      </c>
      <c r="K261" s="93">
        <v>44636.333333333336</v>
      </c>
    </row>
    <row r="262" spans="1:11" x14ac:dyDescent="0.25">
      <c r="A262" s="69">
        <v>227</v>
      </c>
      <c r="B262" s="94" t="s">
        <v>317</v>
      </c>
      <c r="C262" s="90" t="s">
        <v>110</v>
      </c>
      <c r="D262" s="91"/>
      <c r="E262" s="90">
        <v>52564688</v>
      </c>
      <c r="F262" s="90">
        <v>52564676</v>
      </c>
      <c r="G262" s="90" t="s">
        <v>111</v>
      </c>
      <c r="H262" s="92">
        <v>0</v>
      </c>
      <c r="I262" s="91"/>
      <c r="J262" s="93">
        <v>44636.333333333336</v>
      </c>
      <c r="K262" s="93">
        <v>44636.333333333336</v>
      </c>
    </row>
    <row r="263" spans="1:11" x14ac:dyDescent="0.25">
      <c r="A263" s="70">
        <v>228</v>
      </c>
      <c r="B263" s="94" t="s">
        <v>318</v>
      </c>
      <c r="C263" s="90" t="s">
        <v>110</v>
      </c>
      <c r="D263" s="91"/>
      <c r="E263" s="90">
        <v>52564691</v>
      </c>
      <c r="F263" s="90">
        <v>52564676</v>
      </c>
      <c r="G263" s="90" t="s">
        <v>111</v>
      </c>
      <c r="H263" s="92">
        <v>0</v>
      </c>
      <c r="I263" s="91"/>
      <c r="J263" s="93">
        <v>44636.333333333336</v>
      </c>
      <c r="K263" s="93">
        <v>44636.333333333336</v>
      </c>
    </row>
    <row r="264" spans="1:11" x14ac:dyDescent="0.25">
      <c r="A264" s="69">
        <v>229</v>
      </c>
      <c r="B264" s="94" t="s">
        <v>320</v>
      </c>
      <c r="C264" s="90" t="s">
        <v>110</v>
      </c>
      <c r="D264" s="91"/>
      <c r="E264" s="90">
        <v>52564687</v>
      </c>
      <c r="F264" s="90">
        <v>52564676</v>
      </c>
      <c r="G264" s="90" t="s">
        <v>111</v>
      </c>
      <c r="H264" s="92">
        <v>0</v>
      </c>
      <c r="I264" s="91"/>
      <c r="J264" s="93">
        <v>44636.333333333336</v>
      </c>
      <c r="K264" s="93">
        <v>44636.333333333336</v>
      </c>
    </row>
    <row r="265" spans="1:11" x14ac:dyDescent="0.25">
      <c r="A265" s="70">
        <v>230</v>
      </c>
      <c r="B265" s="94" t="s">
        <v>316</v>
      </c>
      <c r="C265" s="90" t="s">
        <v>110</v>
      </c>
      <c r="D265" s="91"/>
      <c r="E265" s="90">
        <v>52564686</v>
      </c>
      <c r="F265" s="90">
        <v>52564676</v>
      </c>
      <c r="G265" s="90" t="s">
        <v>111</v>
      </c>
      <c r="H265" s="92">
        <v>0</v>
      </c>
      <c r="I265" s="91"/>
      <c r="J265" s="93">
        <v>44636.333333333336</v>
      </c>
      <c r="K265" s="93">
        <v>44636.333333333336</v>
      </c>
    </row>
    <row r="266" spans="1:11" x14ac:dyDescent="0.25">
      <c r="A266" s="69">
        <v>231</v>
      </c>
      <c r="B266" s="94" t="s">
        <v>321</v>
      </c>
      <c r="C266" s="90" t="s">
        <v>110</v>
      </c>
      <c r="D266" s="91"/>
      <c r="E266" s="90">
        <v>52564692</v>
      </c>
      <c r="F266" s="90">
        <v>52564676</v>
      </c>
      <c r="G266" s="90" t="s">
        <v>111</v>
      </c>
      <c r="H266" s="92">
        <v>0</v>
      </c>
      <c r="I266" s="91"/>
      <c r="J266" s="93">
        <v>44636.333333333336</v>
      </c>
      <c r="K266" s="93">
        <v>44636.333333333336</v>
      </c>
    </row>
    <row r="267" spans="1:11" x14ac:dyDescent="0.25">
      <c r="A267" s="70">
        <v>232</v>
      </c>
      <c r="B267" s="94" t="s">
        <v>319</v>
      </c>
      <c r="C267" s="90" t="s">
        <v>110</v>
      </c>
      <c r="D267" s="91"/>
      <c r="E267" s="90">
        <v>52564690</v>
      </c>
      <c r="F267" s="90">
        <v>52564676</v>
      </c>
      <c r="G267" s="90" t="s">
        <v>111</v>
      </c>
      <c r="H267" s="92">
        <v>0</v>
      </c>
      <c r="I267" s="91"/>
      <c r="J267" s="93">
        <v>44636.333333333336</v>
      </c>
      <c r="K267" s="93">
        <v>44636.333333333336</v>
      </c>
    </row>
    <row r="268" spans="1:11" x14ac:dyDescent="0.25">
      <c r="A268" s="69">
        <v>233</v>
      </c>
      <c r="B268" s="94" t="s">
        <v>322</v>
      </c>
      <c r="C268" s="90" t="s">
        <v>110</v>
      </c>
      <c r="D268" s="90" t="s">
        <v>436</v>
      </c>
      <c r="E268" s="90">
        <v>52564689</v>
      </c>
      <c r="F268" s="90">
        <v>52564676</v>
      </c>
      <c r="G268" s="90" t="s">
        <v>108</v>
      </c>
      <c r="H268" s="92">
        <v>2.7777777777777779E-3</v>
      </c>
      <c r="I268" s="93">
        <v>44636.544444444444</v>
      </c>
      <c r="J268" s="93">
        <v>44636.547222222223</v>
      </c>
      <c r="K268" s="93">
        <v>44636.333333333336</v>
      </c>
    </row>
    <row r="269" spans="1:11" x14ac:dyDescent="0.25">
      <c r="A269" s="70">
        <v>234</v>
      </c>
      <c r="B269" s="94" t="s">
        <v>323</v>
      </c>
      <c r="C269" s="90" t="s">
        <v>110</v>
      </c>
      <c r="D269" s="90" t="s">
        <v>436</v>
      </c>
      <c r="E269" s="90">
        <v>52564685</v>
      </c>
      <c r="F269" s="90">
        <v>52564676</v>
      </c>
      <c r="G269" s="90" t="s">
        <v>108</v>
      </c>
      <c r="H269" s="92">
        <v>6.9444444444444447E-4</v>
      </c>
      <c r="I269" s="93">
        <v>44636.505555555559</v>
      </c>
      <c r="J269" s="93">
        <v>44636.506249999999</v>
      </c>
      <c r="K269" s="93">
        <v>44636.333333333336</v>
      </c>
    </row>
    <row r="270" spans="1:11" x14ac:dyDescent="0.25">
      <c r="A270" s="69">
        <v>235</v>
      </c>
      <c r="B270" s="94" t="s">
        <v>324</v>
      </c>
      <c r="C270" s="90" t="s">
        <v>110</v>
      </c>
      <c r="D270" s="90" t="s">
        <v>437</v>
      </c>
      <c r="E270" s="90">
        <v>52564684</v>
      </c>
      <c r="F270" s="90">
        <v>52564676</v>
      </c>
      <c r="G270" s="90" t="s">
        <v>108</v>
      </c>
      <c r="H270" s="92">
        <v>5.9027777777777778E-4</v>
      </c>
      <c r="I270" s="93">
        <v>44636.504861111112</v>
      </c>
      <c r="J270" s="93">
        <v>44636.505555555559</v>
      </c>
      <c r="K270" s="93">
        <v>44636.333333333336</v>
      </c>
    </row>
    <row r="271" spans="1:11" x14ac:dyDescent="0.25">
      <c r="A271" s="70">
        <v>236</v>
      </c>
      <c r="B271" s="94" t="s">
        <v>337</v>
      </c>
      <c r="C271" s="90" t="s">
        <v>110</v>
      </c>
      <c r="D271" s="90" t="s">
        <v>436</v>
      </c>
      <c r="E271" s="90">
        <v>52566745</v>
      </c>
      <c r="F271" s="90">
        <v>52564676</v>
      </c>
      <c r="G271" s="90" t="s">
        <v>108</v>
      </c>
      <c r="H271" s="92">
        <v>1.0416666666666667E-3</v>
      </c>
      <c r="I271" s="93">
        <v>44636.504166666666</v>
      </c>
      <c r="J271" s="93">
        <v>44636.504861111112</v>
      </c>
      <c r="K271" s="93">
        <v>44636.333333333336</v>
      </c>
    </row>
    <row r="272" spans="1:11" x14ac:dyDescent="0.25">
      <c r="A272" s="69">
        <v>237</v>
      </c>
      <c r="B272" s="94" t="s">
        <v>338</v>
      </c>
      <c r="C272" s="90" t="s">
        <v>110</v>
      </c>
      <c r="D272" s="90" t="s">
        <v>436</v>
      </c>
      <c r="E272" s="90">
        <v>52567277</v>
      </c>
      <c r="F272" s="90">
        <v>52564676</v>
      </c>
      <c r="G272" s="90" t="s">
        <v>108</v>
      </c>
      <c r="H272" s="92">
        <v>6.9444444444444447E-4</v>
      </c>
      <c r="I272" s="93">
        <v>44636.503472222219</v>
      </c>
      <c r="J272" s="93">
        <v>44636.504166666666</v>
      </c>
      <c r="K272" s="93">
        <v>44636.333333333336</v>
      </c>
    </row>
    <row r="273" spans="1:11" x14ac:dyDescent="0.25">
      <c r="A273" s="70">
        <v>238</v>
      </c>
      <c r="B273" s="94" t="s">
        <v>339</v>
      </c>
      <c r="C273" s="90" t="s">
        <v>110</v>
      </c>
      <c r="D273" s="90" t="s">
        <v>436</v>
      </c>
      <c r="E273" s="90">
        <v>52567276</v>
      </c>
      <c r="F273" s="90">
        <v>52564676</v>
      </c>
      <c r="G273" s="90" t="s">
        <v>108</v>
      </c>
      <c r="H273" s="92">
        <v>2.0833333333333333E-3</v>
      </c>
      <c r="I273" s="93">
        <v>44636.501388888886</v>
      </c>
      <c r="J273" s="93">
        <v>44636.503472222219</v>
      </c>
      <c r="K273" s="93">
        <v>44636.333333333336</v>
      </c>
    </row>
    <row r="274" spans="1:11" x14ac:dyDescent="0.25">
      <c r="A274" s="69">
        <v>239</v>
      </c>
      <c r="B274" s="94" t="s">
        <v>340</v>
      </c>
      <c r="C274" s="90" t="s">
        <v>110</v>
      </c>
      <c r="D274" s="90" t="s">
        <v>436</v>
      </c>
      <c r="E274" s="90">
        <v>52567275</v>
      </c>
      <c r="F274" s="90">
        <v>52564676</v>
      </c>
      <c r="G274" s="90" t="s">
        <v>108</v>
      </c>
      <c r="H274" s="92">
        <v>3.5879629629629635E-4</v>
      </c>
      <c r="I274" s="93">
        <v>44636.500694444447</v>
      </c>
      <c r="J274" s="93">
        <v>44636.501388888886</v>
      </c>
      <c r="K274" s="93">
        <v>44636.333333333336</v>
      </c>
    </row>
    <row r="275" spans="1:11" x14ac:dyDescent="0.25">
      <c r="A275" s="70">
        <v>240</v>
      </c>
      <c r="B275" s="94" t="s">
        <v>329</v>
      </c>
      <c r="C275" s="90" t="s">
        <v>110</v>
      </c>
      <c r="D275" s="91"/>
      <c r="E275" s="90">
        <v>52567270</v>
      </c>
      <c r="F275" s="90">
        <v>52564676</v>
      </c>
      <c r="G275" s="90" t="s">
        <v>111</v>
      </c>
      <c r="H275" s="92">
        <v>0</v>
      </c>
      <c r="I275" s="91"/>
      <c r="J275" s="93">
        <v>44636.333333333336</v>
      </c>
      <c r="K275" s="93">
        <v>44636.333333333336</v>
      </c>
    </row>
    <row r="276" spans="1:11" x14ac:dyDescent="0.25">
      <c r="A276" s="69">
        <v>241</v>
      </c>
      <c r="B276" s="94" t="s">
        <v>326</v>
      </c>
      <c r="C276" s="90" t="s">
        <v>110</v>
      </c>
      <c r="D276" s="91"/>
      <c r="E276" s="90">
        <v>52567273</v>
      </c>
      <c r="F276" s="90">
        <v>52564676</v>
      </c>
      <c r="G276" s="90" t="s">
        <v>111</v>
      </c>
      <c r="H276" s="92">
        <v>0</v>
      </c>
      <c r="I276" s="91"/>
      <c r="J276" s="93">
        <v>44636.333333333336</v>
      </c>
      <c r="K276" s="93">
        <v>44636.333333333336</v>
      </c>
    </row>
    <row r="277" spans="1:11" x14ac:dyDescent="0.25">
      <c r="A277" s="70">
        <v>242</v>
      </c>
      <c r="B277" s="94" t="s">
        <v>327</v>
      </c>
      <c r="C277" s="90" t="s">
        <v>110</v>
      </c>
      <c r="D277" s="91"/>
      <c r="E277" s="90">
        <v>52567272</v>
      </c>
      <c r="F277" s="90">
        <v>52564676</v>
      </c>
      <c r="G277" s="90" t="s">
        <v>111</v>
      </c>
      <c r="H277" s="92">
        <v>0</v>
      </c>
      <c r="I277" s="91"/>
      <c r="J277" s="93">
        <v>44636.333333333336</v>
      </c>
      <c r="K277" s="93">
        <v>44636.333333333336</v>
      </c>
    </row>
    <row r="278" spans="1:11" x14ac:dyDescent="0.25">
      <c r="A278" s="69">
        <v>243</v>
      </c>
      <c r="B278" s="94" t="s">
        <v>328</v>
      </c>
      <c r="C278" s="90" t="s">
        <v>110</v>
      </c>
      <c r="D278" s="91"/>
      <c r="E278" s="90">
        <v>52567271</v>
      </c>
      <c r="F278" s="90">
        <v>52564676</v>
      </c>
      <c r="G278" s="90" t="s">
        <v>111</v>
      </c>
      <c r="H278" s="92">
        <v>0</v>
      </c>
      <c r="I278" s="91"/>
      <c r="J278" s="93">
        <v>44636.333333333336</v>
      </c>
      <c r="K278" s="93">
        <v>44636.333333333336</v>
      </c>
    </row>
    <row r="279" spans="1:11" x14ac:dyDescent="0.25">
      <c r="A279" s="69">
        <v>245</v>
      </c>
      <c r="B279" s="94" t="s">
        <v>334</v>
      </c>
      <c r="C279" s="90" t="s">
        <v>110</v>
      </c>
      <c r="D279" s="91"/>
      <c r="E279" s="90">
        <v>52564680</v>
      </c>
      <c r="F279" s="90">
        <v>52564676</v>
      </c>
      <c r="G279" s="90" t="s">
        <v>111</v>
      </c>
      <c r="H279" s="92">
        <v>0</v>
      </c>
      <c r="I279" s="91"/>
      <c r="J279" s="93">
        <v>44636.333333333336</v>
      </c>
      <c r="K279" s="93">
        <v>44636.333333333336</v>
      </c>
    </row>
    <row r="280" spans="1:11" x14ac:dyDescent="0.25">
      <c r="A280" s="70">
        <v>246</v>
      </c>
      <c r="B280" s="94" t="s">
        <v>336</v>
      </c>
      <c r="C280" s="90" t="s">
        <v>110</v>
      </c>
      <c r="D280" s="91"/>
      <c r="E280" s="90">
        <v>52564679</v>
      </c>
      <c r="F280" s="90">
        <v>52564676</v>
      </c>
      <c r="G280" s="90" t="s">
        <v>111</v>
      </c>
      <c r="H280" s="92">
        <v>0</v>
      </c>
      <c r="I280" s="91"/>
      <c r="J280" s="93">
        <v>44636.333333333336</v>
      </c>
      <c r="K280" s="93">
        <v>44636.333333333336</v>
      </c>
    </row>
    <row r="281" spans="1:11" x14ac:dyDescent="0.25">
      <c r="A281" s="69">
        <v>247</v>
      </c>
      <c r="B281" s="94" t="s">
        <v>335</v>
      </c>
      <c r="C281" s="90" t="s">
        <v>110</v>
      </c>
      <c r="D281" s="91"/>
      <c r="E281" s="90">
        <v>52564678</v>
      </c>
      <c r="F281" s="90">
        <v>52564676</v>
      </c>
      <c r="G281" s="90" t="s">
        <v>111</v>
      </c>
      <c r="H281" s="92">
        <v>0</v>
      </c>
      <c r="I281" s="91"/>
      <c r="J281" s="93">
        <v>44636.333333333336</v>
      </c>
      <c r="K281" s="93">
        <v>44636.333333333336</v>
      </c>
    </row>
    <row r="282" spans="1:11" x14ac:dyDescent="0.25">
      <c r="A282" s="70">
        <v>248</v>
      </c>
      <c r="B282" s="94" t="s">
        <v>325</v>
      </c>
      <c r="C282" s="90" t="s">
        <v>110</v>
      </c>
      <c r="D282" s="91"/>
      <c r="E282" s="90">
        <v>52564677</v>
      </c>
      <c r="F282" s="90">
        <v>52564676</v>
      </c>
      <c r="G282" s="90" t="s">
        <v>111</v>
      </c>
      <c r="H282" s="92">
        <v>0</v>
      </c>
      <c r="I282" s="91"/>
      <c r="J282" s="93">
        <v>44636.333333333336</v>
      </c>
      <c r="K282" s="93">
        <v>44636.333333333336</v>
      </c>
    </row>
    <row r="283" spans="1:11" x14ac:dyDescent="0.25">
      <c r="A283" s="69">
        <v>249</v>
      </c>
      <c r="B283" s="94" t="s">
        <v>331</v>
      </c>
      <c r="C283" s="90" t="s">
        <v>110</v>
      </c>
      <c r="D283" s="91"/>
      <c r="E283" s="90">
        <v>52564683</v>
      </c>
      <c r="F283" s="90">
        <v>52564676</v>
      </c>
      <c r="G283" s="90" t="s">
        <v>111</v>
      </c>
      <c r="H283" s="92">
        <v>0</v>
      </c>
      <c r="I283" s="91"/>
      <c r="J283" s="93">
        <v>44636.333333333336</v>
      </c>
      <c r="K283" s="93">
        <v>44636.333333333336</v>
      </c>
    </row>
    <row r="284" spans="1:11" x14ac:dyDescent="0.25">
      <c r="A284" s="70">
        <v>250</v>
      </c>
      <c r="B284" s="94" t="s">
        <v>332</v>
      </c>
      <c r="C284" s="90" t="s">
        <v>110</v>
      </c>
      <c r="D284" s="90" t="s">
        <v>437</v>
      </c>
      <c r="E284" s="90">
        <v>52564682</v>
      </c>
      <c r="F284" s="90">
        <v>52564676</v>
      </c>
      <c r="G284" s="90" t="s">
        <v>170</v>
      </c>
      <c r="H284" s="92">
        <v>0</v>
      </c>
      <c r="I284" s="91"/>
      <c r="J284" s="93">
        <v>44636.500694444447</v>
      </c>
      <c r="K284" s="93">
        <v>44636.333333333336</v>
      </c>
    </row>
    <row r="285" spans="1:11" x14ac:dyDescent="0.25">
      <c r="A285" s="69">
        <v>251</v>
      </c>
      <c r="B285" s="94" t="s">
        <v>330</v>
      </c>
      <c r="C285" s="90" t="s">
        <v>110</v>
      </c>
      <c r="D285" s="91"/>
      <c r="E285" s="90">
        <v>52568246</v>
      </c>
      <c r="F285" s="90">
        <v>52564676</v>
      </c>
      <c r="G285" s="90" t="s">
        <v>111</v>
      </c>
      <c r="H285" s="92">
        <v>0</v>
      </c>
      <c r="I285" s="91"/>
      <c r="J285" s="93">
        <v>44636.333333333336</v>
      </c>
      <c r="K285" s="93">
        <v>44636.333333333336</v>
      </c>
    </row>
    <row r="286" spans="1:11" x14ac:dyDescent="0.25">
      <c r="A286" s="70">
        <v>252</v>
      </c>
      <c r="B286" s="94" t="s">
        <v>333</v>
      </c>
      <c r="C286" s="90" t="s">
        <v>110</v>
      </c>
      <c r="D286" s="91"/>
      <c r="E286" s="90">
        <v>52564681</v>
      </c>
      <c r="F286" s="90">
        <v>52564676</v>
      </c>
      <c r="G286" s="90" t="s">
        <v>111</v>
      </c>
      <c r="H286" s="92">
        <v>0</v>
      </c>
      <c r="I286" s="91"/>
      <c r="J286" s="93">
        <v>44636.333333333336</v>
      </c>
      <c r="K286" s="93">
        <v>44636.333333333336</v>
      </c>
    </row>
    <row r="287" spans="1:11" x14ac:dyDescent="0.25">
      <c r="A287" s="69">
        <v>253</v>
      </c>
      <c r="B287" s="94" t="s">
        <v>341</v>
      </c>
      <c r="C287" s="90" t="s">
        <v>110</v>
      </c>
      <c r="D287" s="90" t="s">
        <v>436</v>
      </c>
      <c r="E287" s="90">
        <v>52567274</v>
      </c>
      <c r="F287" s="90">
        <v>52564676</v>
      </c>
      <c r="G287" s="90" t="s">
        <v>108</v>
      </c>
      <c r="H287" s="92">
        <v>3.4722222222222224E-4</v>
      </c>
      <c r="I287" s="93">
        <v>44636.500694444447</v>
      </c>
      <c r="J287" s="93">
        <v>44636.500694444447</v>
      </c>
      <c r="K287" s="93">
        <v>44636.333333333336</v>
      </c>
    </row>
    <row r="288" spans="1:11" x14ac:dyDescent="0.25">
      <c r="A288" s="70">
        <v>254</v>
      </c>
      <c r="B288" s="89" t="s">
        <v>342</v>
      </c>
      <c r="C288" s="90" t="s">
        <v>107</v>
      </c>
      <c r="D288" s="91"/>
      <c r="E288" s="90">
        <v>52564693</v>
      </c>
      <c r="F288" s="90">
        <v>52565645</v>
      </c>
      <c r="G288" s="90" t="s">
        <v>111</v>
      </c>
      <c r="H288" s="92">
        <v>0</v>
      </c>
      <c r="I288" s="91"/>
      <c r="J288" s="93">
        <v>44636.333333333336</v>
      </c>
      <c r="K288" s="93">
        <v>44636.333333333336</v>
      </c>
    </row>
    <row r="289" spans="1:11" x14ac:dyDescent="0.25">
      <c r="A289" s="69">
        <v>255</v>
      </c>
      <c r="B289" s="89" t="s">
        <v>344</v>
      </c>
      <c r="C289" s="90" t="s">
        <v>107</v>
      </c>
      <c r="D289" s="91"/>
      <c r="E289" s="90">
        <v>52564704</v>
      </c>
      <c r="F289" s="90">
        <v>52565645</v>
      </c>
      <c r="G289" s="90" t="s">
        <v>111</v>
      </c>
      <c r="H289" s="92">
        <v>0</v>
      </c>
      <c r="I289" s="91"/>
      <c r="J289" s="93">
        <v>44636.333333333336</v>
      </c>
      <c r="K289" s="93">
        <v>44636.333333333336</v>
      </c>
    </row>
    <row r="290" spans="1:11" x14ac:dyDescent="0.25">
      <c r="A290" s="70">
        <v>256</v>
      </c>
      <c r="B290" s="89" t="s">
        <v>343</v>
      </c>
      <c r="C290" s="90" t="s">
        <v>107</v>
      </c>
      <c r="D290" s="91"/>
      <c r="E290" s="90">
        <v>52564694</v>
      </c>
      <c r="F290" s="90">
        <v>52565645</v>
      </c>
      <c r="G290" s="90" t="s">
        <v>170</v>
      </c>
      <c r="H290" s="92">
        <v>0</v>
      </c>
      <c r="I290" s="91"/>
      <c r="J290" s="93">
        <v>44636.500694444447</v>
      </c>
      <c r="K290" s="93">
        <v>44636.333333333336</v>
      </c>
    </row>
    <row r="291" spans="1:11" x14ac:dyDescent="0.25">
      <c r="A291" s="69">
        <v>257</v>
      </c>
      <c r="B291" s="89" t="s">
        <v>347</v>
      </c>
      <c r="C291" s="90" t="s">
        <v>107</v>
      </c>
      <c r="D291" s="91"/>
      <c r="E291" s="90">
        <v>52564721</v>
      </c>
      <c r="F291" s="90">
        <v>52565645</v>
      </c>
      <c r="G291" s="90" t="s">
        <v>108</v>
      </c>
      <c r="H291" s="92">
        <v>0</v>
      </c>
      <c r="I291" s="93">
        <v>44636.547222222223</v>
      </c>
      <c r="J291" s="93">
        <v>44636.547222222223</v>
      </c>
      <c r="K291" s="93">
        <v>44636.333333333336</v>
      </c>
    </row>
    <row r="292" spans="1:11" x14ac:dyDescent="0.25">
      <c r="A292" s="70">
        <v>258</v>
      </c>
      <c r="B292" s="89" t="s">
        <v>346</v>
      </c>
      <c r="C292" s="90" t="s">
        <v>107</v>
      </c>
      <c r="D292" s="91"/>
      <c r="E292" s="90">
        <v>52564710</v>
      </c>
      <c r="F292" s="90">
        <v>52565645</v>
      </c>
      <c r="G292" s="90" t="s">
        <v>108</v>
      </c>
      <c r="H292" s="92">
        <v>0</v>
      </c>
      <c r="I292" s="93">
        <v>44636.547222222223</v>
      </c>
      <c r="J292" s="93">
        <v>44636.547222222223</v>
      </c>
      <c r="K292" s="93">
        <v>44636.333333333336</v>
      </c>
    </row>
    <row r="293" spans="1:11" x14ac:dyDescent="0.25">
      <c r="A293" s="69">
        <v>259</v>
      </c>
      <c r="B293" s="89" t="s">
        <v>345</v>
      </c>
      <c r="C293" s="90" t="s">
        <v>107</v>
      </c>
      <c r="D293" s="91"/>
      <c r="E293" s="90">
        <v>52564705</v>
      </c>
      <c r="F293" s="90">
        <v>52565645</v>
      </c>
      <c r="G293" s="90" t="s">
        <v>108</v>
      </c>
      <c r="H293" s="92">
        <v>0</v>
      </c>
      <c r="I293" s="93">
        <v>44636.547222222223</v>
      </c>
      <c r="J293" s="93">
        <v>44636.547222222223</v>
      </c>
      <c r="K293" s="93">
        <v>44636.333333333336</v>
      </c>
    </row>
    <row r="294" spans="1:11" x14ac:dyDescent="0.25">
      <c r="A294" s="70">
        <v>260</v>
      </c>
      <c r="B294" s="89" t="s">
        <v>85</v>
      </c>
      <c r="C294" s="90" t="s">
        <v>107</v>
      </c>
      <c r="D294" s="91"/>
      <c r="E294" s="90">
        <v>52564723</v>
      </c>
      <c r="F294" s="90">
        <v>52565645</v>
      </c>
      <c r="G294" s="90" t="s">
        <v>108</v>
      </c>
      <c r="H294" s="92">
        <v>4.6747685185185184E-2</v>
      </c>
      <c r="I294" s="93">
        <v>44636.477083333331</v>
      </c>
      <c r="J294" s="93">
        <v>44636.523611111108</v>
      </c>
      <c r="K294" s="93">
        <v>44636.333333333336</v>
      </c>
    </row>
    <row r="295" spans="1:11" x14ac:dyDescent="0.25">
      <c r="A295" s="69">
        <v>261</v>
      </c>
      <c r="B295" s="94" t="s">
        <v>353</v>
      </c>
      <c r="C295" s="90" t="s">
        <v>110</v>
      </c>
      <c r="D295" s="90" t="s">
        <v>437</v>
      </c>
      <c r="E295" s="90">
        <v>52565731</v>
      </c>
      <c r="F295" s="90">
        <v>52564723</v>
      </c>
      <c r="G295" s="90" t="s">
        <v>108</v>
      </c>
      <c r="H295" s="92">
        <v>8.773148148148148E-3</v>
      </c>
      <c r="I295" s="93">
        <v>44636.496527777781</v>
      </c>
      <c r="J295" s="93">
        <v>44636.505555555559</v>
      </c>
      <c r="K295" s="93">
        <v>44636.333333333336</v>
      </c>
    </row>
    <row r="296" spans="1:11" x14ac:dyDescent="0.25">
      <c r="A296" s="70">
        <v>262</v>
      </c>
      <c r="B296" s="94" t="s">
        <v>354</v>
      </c>
      <c r="C296" s="90" t="s">
        <v>110</v>
      </c>
      <c r="D296" s="90" t="s">
        <v>436</v>
      </c>
      <c r="E296" s="90">
        <v>52565727</v>
      </c>
      <c r="F296" s="90">
        <v>52564723</v>
      </c>
      <c r="G296" s="90" t="s">
        <v>108</v>
      </c>
      <c r="H296" s="92">
        <v>1.736111111111111E-3</v>
      </c>
      <c r="I296" s="93">
        <v>44636.494444444441</v>
      </c>
      <c r="J296" s="93">
        <v>44636.495833333334</v>
      </c>
      <c r="K296" s="93">
        <v>44636.333333333336</v>
      </c>
    </row>
    <row r="297" spans="1:11" x14ac:dyDescent="0.25">
      <c r="A297" s="69">
        <v>263</v>
      </c>
      <c r="B297" s="94" t="s">
        <v>87</v>
      </c>
      <c r="C297" s="90" t="s">
        <v>110</v>
      </c>
      <c r="D297" s="90" t="s">
        <v>436</v>
      </c>
      <c r="E297" s="90">
        <v>52565730</v>
      </c>
      <c r="F297" s="90">
        <v>52564723</v>
      </c>
      <c r="G297" s="90" t="s">
        <v>108</v>
      </c>
      <c r="H297" s="92">
        <v>2.4305555555555556E-3</v>
      </c>
      <c r="I297" s="93">
        <v>44636.494444444441</v>
      </c>
      <c r="J297" s="93">
        <v>44636.496527777781</v>
      </c>
      <c r="K297" s="93">
        <v>44636.333333333336</v>
      </c>
    </row>
    <row r="298" spans="1:11" x14ac:dyDescent="0.25">
      <c r="A298" s="70">
        <v>264</v>
      </c>
      <c r="B298" s="94" t="s">
        <v>357</v>
      </c>
      <c r="C298" s="90" t="s">
        <v>110</v>
      </c>
      <c r="D298" s="90" t="s">
        <v>437</v>
      </c>
      <c r="E298" s="90">
        <v>52565729</v>
      </c>
      <c r="F298" s="90">
        <v>52564723</v>
      </c>
      <c r="G298" s="90" t="s">
        <v>108</v>
      </c>
      <c r="H298" s="92">
        <v>1.8981481481481482E-3</v>
      </c>
      <c r="I298" s="93">
        <v>44636.479166666664</v>
      </c>
      <c r="J298" s="93">
        <v>44636.481249999997</v>
      </c>
      <c r="K298" s="93">
        <v>44636.333333333336</v>
      </c>
    </row>
    <row r="299" spans="1:11" x14ac:dyDescent="0.25">
      <c r="A299" s="69">
        <v>265</v>
      </c>
      <c r="B299" s="94" t="s">
        <v>358</v>
      </c>
      <c r="C299" s="90" t="s">
        <v>110</v>
      </c>
      <c r="D299" s="90" t="s">
        <v>437</v>
      </c>
      <c r="E299" s="90">
        <v>52565728</v>
      </c>
      <c r="F299" s="90">
        <v>52564723</v>
      </c>
      <c r="G299" s="90" t="s">
        <v>108</v>
      </c>
      <c r="H299" s="92">
        <v>2.3379629629629631E-3</v>
      </c>
      <c r="I299" s="93">
        <v>44636.479166666664</v>
      </c>
      <c r="J299" s="93">
        <v>44636.481944444444</v>
      </c>
      <c r="K299" s="93">
        <v>44636.333333333336</v>
      </c>
    </row>
    <row r="300" spans="1:11" x14ac:dyDescent="0.25">
      <c r="A300" s="70">
        <v>266</v>
      </c>
      <c r="B300" s="94" t="s">
        <v>348</v>
      </c>
      <c r="C300" s="90" t="s">
        <v>110</v>
      </c>
      <c r="D300" s="90" t="s">
        <v>437</v>
      </c>
      <c r="E300" s="90">
        <v>52565723</v>
      </c>
      <c r="F300" s="90">
        <v>52564723</v>
      </c>
      <c r="G300" s="90" t="s">
        <v>108</v>
      </c>
      <c r="H300" s="92">
        <v>1.1574074074074073E-5</v>
      </c>
      <c r="I300" s="93">
        <v>44636.523611111108</v>
      </c>
      <c r="J300" s="93">
        <v>44636.523611111108</v>
      </c>
      <c r="K300" s="93">
        <v>44636.333333333336</v>
      </c>
    </row>
    <row r="301" spans="1:11" x14ac:dyDescent="0.25">
      <c r="A301" s="69">
        <v>267</v>
      </c>
      <c r="B301" s="94" t="s">
        <v>349</v>
      </c>
      <c r="C301" s="90" t="s">
        <v>110</v>
      </c>
      <c r="D301" s="90" t="s">
        <v>437</v>
      </c>
      <c r="E301" s="90">
        <v>52565722</v>
      </c>
      <c r="F301" s="90">
        <v>52564723</v>
      </c>
      <c r="G301" s="90" t="s">
        <v>108</v>
      </c>
      <c r="H301" s="92">
        <v>8.1018518518518516E-5</v>
      </c>
      <c r="I301" s="93">
        <v>44636.523611111108</v>
      </c>
      <c r="J301" s="93">
        <v>44636.523611111108</v>
      </c>
      <c r="K301" s="93">
        <v>44636.333333333336</v>
      </c>
    </row>
    <row r="302" spans="1:11" x14ac:dyDescent="0.25">
      <c r="A302" s="70">
        <v>268</v>
      </c>
      <c r="B302" s="94" t="s">
        <v>350</v>
      </c>
      <c r="C302" s="90" t="s">
        <v>110</v>
      </c>
      <c r="D302" s="90" t="s">
        <v>437</v>
      </c>
      <c r="E302" s="90">
        <v>52565721</v>
      </c>
      <c r="F302" s="90">
        <v>52564723</v>
      </c>
      <c r="G302" s="90" t="s">
        <v>108</v>
      </c>
      <c r="H302" s="92">
        <v>8.9351851851851866E-3</v>
      </c>
      <c r="I302" s="93">
        <v>44636.51458333333</v>
      </c>
      <c r="J302" s="93">
        <v>44636.523611111108</v>
      </c>
      <c r="K302" s="93">
        <v>44636.333333333336</v>
      </c>
    </row>
    <row r="303" spans="1:11" x14ac:dyDescent="0.25">
      <c r="A303" s="69">
        <v>269</v>
      </c>
      <c r="B303" s="94" t="s">
        <v>351</v>
      </c>
      <c r="C303" s="90" t="s">
        <v>110</v>
      </c>
      <c r="D303" s="90" t="s">
        <v>437</v>
      </c>
      <c r="E303" s="90">
        <v>52565720</v>
      </c>
      <c r="F303" s="90">
        <v>52564723</v>
      </c>
      <c r="G303" s="90" t="s">
        <v>108</v>
      </c>
      <c r="H303" s="92">
        <v>4.6296296296296294E-5</v>
      </c>
      <c r="I303" s="93">
        <v>44636.51458333333</v>
      </c>
      <c r="J303" s="93">
        <v>44636.51458333333</v>
      </c>
      <c r="K303" s="93">
        <v>44636.333333333336</v>
      </c>
    </row>
    <row r="304" spans="1:11" x14ac:dyDescent="0.25">
      <c r="A304" s="70">
        <v>270</v>
      </c>
      <c r="B304" s="94" t="s">
        <v>352</v>
      </c>
      <c r="C304" s="90" t="s">
        <v>110</v>
      </c>
      <c r="D304" s="90" t="s">
        <v>437</v>
      </c>
      <c r="E304" s="90">
        <v>52565719</v>
      </c>
      <c r="F304" s="90">
        <v>52564723</v>
      </c>
      <c r="G304" s="90" t="s">
        <v>108</v>
      </c>
      <c r="H304" s="92">
        <v>5.3240740740740744E-4</v>
      </c>
      <c r="I304" s="93">
        <v>44636.51458333333</v>
      </c>
      <c r="J304" s="93">
        <v>44636.51458333333</v>
      </c>
      <c r="K304" s="93">
        <v>44636.333333333336</v>
      </c>
    </row>
    <row r="305" spans="1:11" x14ac:dyDescent="0.25">
      <c r="A305" s="69">
        <v>271</v>
      </c>
      <c r="B305" s="94" t="s">
        <v>360</v>
      </c>
      <c r="C305" s="90" t="s">
        <v>110</v>
      </c>
      <c r="D305" s="90" t="s">
        <v>437</v>
      </c>
      <c r="E305" s="90">
        <v>52568249</v>
      </c>
      <c r="F305" s="90">
        <v>52564723</v>
      </c>
      <c r="G305" s="90" t="s">
        <v>108</v>
      </c>
      <c r="H305" s="92">
        <v>9.2592592592592585E-4</v>
      </c>
      <c r="I305" s="93">
        <v>44636.513194444444</v>
      </c>
      <c r="J305" s="93">
        <v>44636.51458333333</v>
      </c>
      <c r="K305" s="93">
        <v>44636.333333333336</v>
      </c>
    </row>
    <row r="306" spans="1:11" x14ac:dyDescent="0.25">
      <c r="A306" s="70">
        <v>272</v>
      </c>
      <c r="B306" s="94" t="s">
        <v>362</v>
      </c>
      <c r="C306" s="90" t="s">
        <v>110</v>
      </c>
      <c r="D306" s="90" t="s">
        <v>436</v>
      </c>
      <c r="E306" s="90">
        <v>52564729</v>
      </c>
      <c r="F306" s="90">
        <v>52564723</v>
      </c>
      <c r="G306" s="90" t="s">
        <v>108</v>
      </c>
      <c r="H306" s="92">
        <v>6.2499999999999995E-3</v>
      </c>
      <c r="I306" s="93">
        <v>44636.506944444445</v>
      </c>
      <c r="J306" s="93">
        <v>44636.513194444444</v>
      </c>
      <c r="K306" s="93">
        <v>44636.333333333336</v>
      </c>
    </row>
    <row r="307" spans="1:11" x14ac:dyDescent="0.25">
      <c r="A307" s="69">
        <v>273</v>
      </c>
      <c r="B307" s="94" t="s">
        <v>361</v>
      </c>
      <c r="C307" s="90" t="s">
        <v>107</v>
      </c>
      <c r="D307" s="91"/>
      <c r="E307" s="90">
        <v>52564730</v>
      </c>
      <c r="F307" s="90">
        <v>52564723</v>
      </c>
      <c r="G307" s="90" t="s">
        <v>108</v>
      </c>
      <c r="H307" s="92">
        <v>5.2893518518518515E-3</v>
      </c>
      <c r="I307" s="93">
        <v>44636.506944444445</v>
      </c>
      <c r="J307" s="93">
        <v>44636.512499999997</v>
      </c>
      <c r="K307" s="93">
        <v>44636.333333333336</v>
      </c>
    </row>
    <row r="308" spans="1:11" x14ac:dyDescent="0.25">
      <c r="A308" s="70">
        <v>274</v>
      </c>
      <c r="B308" s="94" t="s">
        <v>363</v>
      </c>
      <c r="C308" s="90" t="s">
        <v>107</v>
      </c>
      <c r="D308" s="91"/>
      <c r="E308" s="90">
        <v>52564728</v>
      </c>
      <c r="F308" s="90">
        <v>52564723</v>
      </c>
      <c r="G308" s="90" t="s">
        <v>108</v>
      </c>
      <c r="H308" s="92">
        <v>9.5486111111111101E-3</v>
      </c>
      <c r="I308" s="93">
        <v>44636.497916666667</v>
      </c>
      <c r="J308" s="93">
        <v>44636.506944444445</v>
      </c>
      <c r="K308" s="93">
        <v>44636.333333333336</v>
      </c>
    </row>
    <row r="309" spans="1:11" x14ac:dyDescent="0.25">
      <c r="A309" s="69">
        <v>275</v>
      </c>
      <c r="B309" s="94" t="s">
        <v>355</v>
      </c>
      <c r="C309" s="90" t="s">
        <v>110</v>
      </c>
      <c r="D309" s="90" t="s">
        <v>436</v>
      </c>
      <c r="E309" s="90">
        <v>52565726</v>
      </c>
      <c r="F309" s="90">
        <v>52564723</v>
      </c>
      <c r="G309" s="90" t="s">
        <v>108</v>
      </c>
      <c r="H309" s="92">
        <v>3.1249999999999997E-3</v>
      </c>
      <c r="I309" s="93">
        <v>44636.490972222222</v>
      </c>
      <c r="J309" s="93">
        <v>44636.494444444441</v>
      </c>
      <c r="K309" s="93">
        <v>44636.333333333336</v>
      </c>
    </row>
    <row r="310" spans="1:11" x14ac:dyDescent="0.25">
      <c r="A310" s="70">
        <v>276</v>
      </c>
      <c r="B310" s="94" t="s">
        <v>356</v>
      </c>
      <c r="C310" s="90" t="s">
        <v>110</v>
      </c>
      <c r="D310" s="90" t="s">
        <v>437</v>
      </c>
      <c r="E310" s="90">
        <v>52565725</v>
      </c>
      <c r="F310" s="90">
        <v>52564723</v>
      </c>
      <c r="G310" s="90" t="s">
        <v>108</v>
      </c>
      <c r="H310" s="92">
        <v>1.1689814814814814E-2</v>
      </c>
      <c r="I310" s="93">
        <v>44636.479166666664</v>
      </c>
      <c r="J310" s="93">
        <v>44636.490972222222</v>
      </c>
      <c r="K310" s="93">
        <v>44636.333333333336</v>
      </c>
    </row>
    <row r="311" spans="1:11" x14ac:dyDescent="0.25">
      <c r="A311" s="69">
        <v>277</v>
      </c>
      <c r="B311" s="94" t="s">
        <v>359</v>
      </c>
      <c r="C311" s="90" t="s">
        <v>110</v>
      </c>
      <c r="D311" s="90" t="s">
        <v>437</v>
      </c>
      <c r="E311" s="90">
        <v>52565724</v>
      </c>
      <c r="F311" s="90">
        <v>52564723</v>
      </c>
      <c r="G311" s="90" t="s">
        <v>108</v>
      </c>
      <c r="H311" s="92">
        <v>1.1226851851851851E-3</v>
      </c>
      <c r="I311" s="93">
        <v>44636.477083333331</v>
      </c>
      <c r="J311" s="93">
        <v>44636.478472222225</v>
      </c>
      <c r="K311" s="93">
        <v>44636.333333333336</v>
      </c>
    </row>
    <row r="312" spans="1:11" x14ac:dyDescent="0.25">
      <c r="A312" s="70">
        <v>278</v>
      </c>
      <c r="B312" s="94" t="s">
        <v>366</v>
      </c>
      <c r="C312" s="90" t="s">
        <v>110</v>
      </c>
      <c r="D312" s="91"/>
      <c r="E312" s="90">
        <v>52564724</v>
      </c>
      <c r="F312" s="90">
        <v>52564723</v>
      </c>
      <c r="G312" s="90" t="s">
        <v>111</v>
      </c>
      <c r="H312" s="92">
        <v>0</v>
      </c>
      <c r="I312" s="91"/>
      <c r="J312" s="93">
        <v>44636.333333333336</v>
      </c>
      <c r="K312" s="93">
        <v>44636.333333333336</v>
      </c>
    </row>
    <row r="313" spans="1:11" x14ac:dyDescent="0.25">
      <c r="A313" s="69">
        <v>279</v>
      </c>
      <c r="B313" s="94" t="s">
        <v>364</v>
      </c>
      <c r="C313" s="90" t="s">
        <v>110</v>
      </c>
      <c r="D313" s="90" t="s">
        <v>436</v>
      </c>
      <c r="E313" s="90">
        <v>52564727</v>
      </c>
      <c r="F313" s="90">
        <v>52564723</v>
      </c>
      <c r="G313" s="90" t="s">
        <v>108</v>
      </c>
      <c r="H313" s="92">
        <v>3.4722222222222224E-4</v>
      </c>
      <c r="I313" s="93">
        <v>44636.48333333333</v>
      </c>
      <c r="J313" s="93">
        <v>44636.484027777777</v>
      </c>
      <c r="K313" s="93">
        <v>44636.333333333336</v>
      </c>
    </row>
    <row r="314" spans="1:11" x14ac:dyDescent="0.25">
      <c r="A314" s="70">
        <v>280</v>
      </c>
      <c r="B314" s="94" t="s">
        <v>365</v>
      </c>
      <c r="C314" s="90" t="s">
        <v>110</v>
      </c>
      <c r="D314" s="90" t="s">
        <v>437</v>
      </c>
      <c r="E314" s="90">
        <v>52564726</v>
      </c>
      <c r="F314" s="90">
        <v>52564723</v>
      </c>
      <c r="G314" s="90" t="s">
        <v>108</v>
      </c>
      <c r="H314" s="92">
        <v>4.2129629629629626E-3</v>
      </c>
      <c r="I314" s="93">
        <v>44636.479166666664</v>
      </c>
      <c r="J314" s="93">
        <v>44636.48333333333</v>
      </c>
      <c r="K314" s="93">
        <v>44636.333333333336</v>
      </c>
    </row>
    <row r="315" spans="1:11" x14ac:dyDescent="0.25">
      <c r="A315" s="69">
        <v>281</v>
      </c>
      <c r="B315" s="94" t="s">
        <v>367</v>
      </c>
      <c r="C315" s="90" t="s">
        <v>110</v>
      </c>
      <c r="D315" s="90" t="s">
        <v>436</v>
      </c>
      <c r="E315" s="90">
        <v>52564725</v>
      </c>
      <c r="F315" s="90">
        <v>52564723</v>
      </c>
      <c r="G315" s="90" t="s">
        <v>108</v>
      </c>
      <c r="H315" s="92">
        <v>3.8194444444444443E-3</v>
      </c>
      <c r="I315" s="93">
        <v>44636.479166666664</v>
      </c>
      <c r="J315" s="93">
        <v>44636.48333333333</v>
      </c>
      <c r="K315" s="93">
        <v>44636.333333333336</v>
      </c>
    </row>
    <row r="316" spans="1:11" x14ac:dyDescent="0.25">
      <c r="A316" s="70">
        <v>282</v>
      </c>
      <c r="B316" s="96" t="s">
        <v>88</v>
      </c>
      <c r="C316" s="85" t="s">
        <v>107</v>
      </c>
      <c r="D316" s="86"/>
      <c r="E316" s="85">
        <v>52565732</v>
      </c>
      <c r="F316" s="85">
        <v>52565645</v>
      </c>
      <c r="G316" s="85" t="s">
        <v>108</v>
      </c>
      <c r="H316" s="87">
        <v>6.4814814814814813E-3</v>
      </c>
      <c r="I316" s="88">
        <v>44636.547222222223</v>
      </c>
      <c r="J316" s="88">
        <v>44636.554166666669</v>
      </c>
      <c r="K316" s="88">
        <v>44636.333333333336</v>
      </c>
    </row>
    <row r="317" spans="1:11" x14ac:dyDescent="0.25">
      <c r="A317" s="69">
        <v>283</v>
      </c>
      <c r="B317" s="89" t="s">
        <v>368</v>
      </c>
      <c r="C317" s="90" t="s">
        <v>107</v>
      </c>
      <c r="D317" s="91"/>
      <c r="E317" s="90">
        <v>52564738</v>
      </c>
      <c r="F317" s="90">
        <v>52565645</v>
      </c>
      <c r="G317" s="90" t="s">
        <v>108</v>
      </c>
      <c r="H317" s="92">
        <v>1.2638888888888889E-2</v>
      </c>
      <c r="I317" s="93">
        <v>44636.500694444447</v>
      </c>
      <c r="J317" s="93">
        <v>44636.513194444444</v>
      </c>
      <c r="K317" s="93">
        <v>44636.333333333336</v>
      </c>
    </row>
    <row r="318" spans="1:11" x14ac:dyDescent="0.25">
      <c r="A318" s="70">
        <v>284</v>
      </c>
      <c r="B318" s="94" t="s">
        <v>369</v>
      </c>
      <c r="C318" s="90" t="s">
        <v>110</v>
      </c>
      <c r="D318" s="91"/>
      <c r="E318" s="90">
        <v>52567283</v>
      </c>
      <c r="F318" s="90">
        <v>52564738</v>
      </c>
      <c r="G318" s="90" t="s">
        <v>111</v>
      </c>
      <c r="H318" s="92">
        <v>0</v>
      </c>
      <c r="I318" s="91"/>
      <c r="J318" s="93">
        <v>44636.333333333336</v>
      </c>
      <c r="K318" s="93">
        <v>44636.333333333336</v>
      </c>
    </row>
    <row r="319" spans="1:11" x14ac:dyDescent="0.25">
      <c r="A319" s="69">
        <v>285</v>
      </c>
      <c r="B319" s="94" t="s">
        <v>371</v>
      </c>
      <c r="C319" s="90" t="s">
        <v>110</v>
      </c>
      <c r="D319" s="90" t="s">
        <v>437</v>
      </c>
      <c r="E319" s="90">
        <v>52565742</v>
      </c>
      <c r="F319" s="90">
        <v>52564738</v>
      </c>
      <c r="G319" s="90" t="s">
        <v>108</v>
      </c>
      <c r="H319" s="92">
        <v>8.7962962962962962E-4</v>
      </c>
      <c r="I319" s="93">
        <v>44636.500694444447</v>
      </c>
      <c r="J319" s="93">
        <v>44636.501388888886</v>
      </c>
      <c r="K319" s="93">
        <v>44636.333333333336</v>
      </c>
    </row>
    <row r="320" spans="1:11" x14ac:dyDescent="0.25">
      <c r="A320" s="70">
        <v>286</v>
      </c>
      <c r="B320" s="94" t="s">
        <v>373</v>
      </c>
      <c r="C320" s="90" t="s">
        <v>110</v>
      </c>
      <c r="D320" s="90" t="s">
        <v>437</v>
      </c>
      <c r="E320" s="90">
        <v>52567282</v>
      </c>
      <c r="F320" s="90">
        <v>52564738</v>
      </c>
      <c r="G320" s="90" t="s">
        <v>108</v>
      </c>
      <c r="H320" s="92">
        <v>1.2627314814814815E-2</v>
      </c>
      <c r="I320" s="93">
        <v>44636.500694444447</v>
      </c>
      <c r="J320" s="93">
        <v>44636.513194444444</v>
      </c>
      <c r="K320" s="93">
        <v>44636.333333333336</v>
      </c>
    </row>
    <row r="321" spans="1:11" x14ac:dyDescent="0.25">
      <c r="A321" s="69">
        <v>287</v>
      </c>
      <c r="B321" s="94" t="s">
        <v>374</v>
      </c>
      <c r="C321" s="90" t="s">
        <v>110</v>
      </c>
      <c r="D321" s="90" t="s">
        <v>437</v>
      </c>
      <c r="E321" s="90">
        <v>52568251</v>
      </c>
      <c r="F321" s="90">
        <v>52564738</v>
      </c>
      <c r="G321" s="90" t="s">
        <v>108</v>
      </c>
      <c r="H321" s="92">
        <v>5.2083333333333333E-4</v>
      </c>
      <c r="I321" s="93">
        <v>44636.500694444447</v>
      </c>
      <c r="J321" s="93">
        <v>44636.501388888886</v>
      </c>
      <c r="K321" s="93">
        <v>44636.333333333336</v>
      </c>
    </row>
    <row r="322" spans="1:11" x14ac:dyDescent="0.25">
      <c r="A322" s="70">
        <v>288</v>
      </c>
      <c r="B322" s="94" t="s">
        <v>372</v>
      </c>
      <c r="C322" s="90" t="s">
        <v>110</v>
      </c>
      <c r="D322" s="90" t="s">
        <v>437</v>
      </c>
      <c r="E322" s="90">
        <v>52565741</v>
      </c>
      <c r="F322" s="90">
        <v>52564738</v>
      </c>
      <c r="G322" s="90" t="s">
        <v>108</v>
      </c>
      <c r="H322" s="92">
        <v>5.7870370370370366E-5</v>
      </c>
      <c r="I322" s="93">
        <v>44636.500694444447</v>
      </c>
      <c r="J322" s="93">
        <v>44636.500694444447</v>
      </c>
      <c r="K322" s="93">
        <v>44636.333333333336</v>
      </c>
    </row>
    <row r="323" spans="1:11" x14ac:dyDescent="0.25">
      <c r="A323" s="69">
        <v>289</v>
      </c>
      <c r="B323" s="94" t="s">
        <v>370</v>
      </c>
      <c r="C323" s="90" t="s">
        <v>110</v>
      </c>
      <c r="D323" s="90" t="s">
        <v>437</v>
      </c>
      <c r="E323" s="90">
        <v>52568250</v>
      </c>
      <c r="F323" s="90">
        <v>52564738</v>
      </c>
      <c r="G323" s="90" t="s">
        <v>108</v>
      </c>
      <c r="H323" s="92">
        <v>5.7870370370370366E-5</v>
      </c>
      <c r="I323" s="93">
        <v>44636.500694444447</v>
      </c>
      <c r="J323" s="93">
        <v>44636.500694444447</v>
      </c>
      <c r="K323" s="93">
        <v>44636.333333333336</v>
      </c>
    </row>
    <row r="324" spans="1:11" x14ac:dyDescent="0.25">
      <c r="A324" s="70">
        <v>290</v>
      </c>
      <c r="B324" s="89" t="s">
        <v>89</v>
      </c>
      <c r="C324" s="90" t="s">
        <v>107</v>
      </c>
      <c r="D324" s="91"/>
      <c r="E324" s="90">
        <v>52566746</v>
      </c>
      <c r="F324" s="90">
        <v>52565645</v>
      </c>
      <c r="G324" s="90" t="s">
        <v>108</v>
      </c>
      <c r="H324" s="92">
        <v>2.2488425925925926E-2</v>
      </c>
      <c r="I324" s="93">
        <v>44636.477083333331</v>
      </c>
      <c r="J324" s="93">
        <v>44636.5</v>
      </c>
      <c r="K324" s="93">
        <v>44636.333333333336</v>
      </c>
    </row>
    <row r="325" spans="1:11" x14ac:dyDescent="0.25">
      <c r="A325" s="69">
        <v>291</v>
      </c>
      <c r="B325" s="94" t="s">
        <v>375</v>
      </c>
      <c r="C325" s="90" t="s">
        <v>110</v>
      </c>
      <c r="D325" s="90" t="s">
        <v>437</v>
      </c>
      <c r="E325" s="90">
        <v>52566751</v>
      </c>
      <c r="F325" s="90">
        <v>52566746</v>
      </c>
      <c r="G325" s="90" t="s">
        <v>108</v>
      </c>
      <c r="H325" s="92">
        <v>1.5046296296296297E-4</v>
      </c>
      <c r="I325" s="93">
        <v>44636.499305555553</v>
      </c>
      <c r="J325" s="93">
        <v>44636.5</v>
      </c>
      <c r="K325" s="93">
        <v>44636.333333333336</v>
      </c>
    </row>
    <row r="326" spans="1:11" x14ac:dyDescent="0.25">
      <c r="A326" s="70">
        <v>292</v>
      </c>
      <c r="B326" s="94" t="s">
        <v>376</v>
      </c>
      <c r="C326" s="90" t="s">
        <v>110</v>
      </c>
      <c r="D326" s="90" t="s">
        <v>437</v>
      </c>
      <c r="E326" s="90">
        <v>52566750</v>
      </c>
      <c r="F326" s="90">
        <v>52566746</v>
      </c>
      <c r="G326" s="90" t="s">
        <v>108</v>
      </c>
      <c r="H326" s="92">
        <v>2.5115740740740741E-3</v>
      </c>
      <c r="I326" s="93">
        <v>44636.49722222222</v>
      </c>
      <c r="J326" s="93">
        <v>44636.499305555553</v>
      </c>
      <c r="K326" s="93">
        <v>44636.333333333336</v>
      </c>
    </row>
    <row r="327" spans="1:11" x14ac:dyDescent="0.25">
      <c r="A327" s="69">
        <v>293</v>
      </c>
      <c r="B327" s="94" t="s">
        <v>377</v>
      </c>
      <c r="C327" s="90" t="s">
        <v>110</v>
      </c>
      <c r="D327" s="90" t="s">
        <v>437</v>
      </c>
      <c r="E327" s="90">
        <v>52566749</v>
      </c>
      <c r="F327" s="90">
        <v>52566746</v>
      </c>
      <c r="G327" s="90" t="s">
        <v>108</v>
      </c>
      <c r="H327" s="92">
        <v>8.1018518518518516E-5</v>
      </c>
      <c r="I327" s="93">
        <v>44636.49722222222</v>
      </c>
      <c r="J327" s="93">
        <v>44636.49722222222</v>
      </c>
      <c r="K327" s="93">
        <v>44636.333333333336</v>
      </c>
    </row>
    <row r="328" spans="1:11" x14ac:dyDescent="0.25">
      <c r="A328" s="70">
        <v>294</v>
      </c>
      <c r="B328" s="94" t="s">
        <v>378</v>
      </c>
      <c r="C328" s="90" t="s">
        <v>110</v>
      </c>
      <c r="D328" s="90" t="s">
        <v>436</v>
      </c>
      <c r="E328" s="90">
        <v>52566747</v>
      </c>
      <c r="F328" s="90">
        <v>52566746</v>
      </c>
      <c r="G328" s="90" t="s">
        <v>108</v>
      </c>
      <c r="H328" s="92">
        <v>1.0532407407407407E-3</v>
      </c>
      <c r="I328" s="93">
        <v>44636.495833333334</v>
      </c>
      <c r="J328" s="93">
        <v>44636.49722222222</v>
      </c>
      <c r="K328" s="93">
        <v>44636.333333333336</v>
      </c>
    </row>
    <row r="329" spans="1:11" x14ac:dyDescent="0.25">
      <c r="A329" s="69">
        <v>295</v>
      </c>
      <c r="B329" s="94" t="s">
        <v>379</v>
      </c>
      <c r="C329" s="90" t="s">
        <v>110</v>
      </c>
      <c r="D329" s="90" t="s">
        <v>436</v>
      </c>
      <c r="E329" s="90">
        <v>52566748</v>
      </c>
      <c r="F329" s="90">
        <v>52566746</v>
      </c>
      <c r="G329" s="90" t="s">
        <v>108</v>
      </c>
      <c r="H329" s="92">
        <v>6.9444444444444447E-4</v>
      </c>
      <c r="I329" s="93">
        <v>44636.48333333333</v>
      </c>
      <c r="J329" s="93">
        <v>44636.484027777777</v>
      </c>
      <c r="K329" s="93">
        <v>44636.333333333336</v>
      </c>
    </row>
    <row r="330" spans="1:11" x14ac:dyDescent="0.25">
      <c r="A330" s="70">
        <v>296</v>
      </c>
      <c r="B330" s="89" t="s">
        <v>94</v>
      </c>
      <c r="C330" s="90" t="s">
        <v>107</v>
      </c>
      <c r="D330" s="91"/>
      <c r="E330" s="90">
        <v>52566761</v>
      </c>
      <c r="F330" s="90">
        <v>52565645</v>
      </c>
      <c r="G330" s="90" t="s">
        <v>108</v>
      </c>
      <c r="H330" s="92">
        <v>6.5972222222222222E-3</v>
      </c>
      <c r="I330" s="93">
        <v>44636.572916666664</v>
      </c>
      <c r="J330" s="93">
        <v>44636.579861111109</v>
      </c>
      <c r="K330" s="93">
        <v>44636.333333333336</v>
      </c>
    </row>
    <row r="331" spans="1:11" x14ac:dyDescent="0.25">
      <c r="A331" s="69">
        <v>297</v>
      </c>
      <c r="B331" s="89" t="s">
        <v>380</v>
      </c>
      <c r="C331" s="90" t="s">
        <v>107</v>
      </c>
      <c r="D331" s="91"/>
      <c r="E331" s="90">
        <v>52566752</v>
      </c>
      <c r="F331" s="90">
        <v>52565645</v>
      </c>
      <c r="G331" s="90" t="s">
        <v>108</v>
      </c>
      <c r="H331" s="92">
        <v>7.291666666666667E-4</v>
      </c>
      <c r="I331" s="93">
        <v>44636.500694444447</v>
      </c>
      <c r="J331" s="93">
        <v>44636.501388888886</v>
      </c>
      <c r="K331" s="93">
        <v>44636.333333333336</v>
      </c>
    </row>
    <row r="332" spans="1:11" x14ac:dyDescent="0.25">
      <c r="A332" s="70">
        <v>298</v>
      </c>
      <c r="B332" s="94" t="s">
        <v>381</v>
      </c>
      <c r="C332" s="90" t="s">
        <v>110</v>
      </c>
      <c r="D332" s="91"/>
      <c r="E332" s="90">
        <v>52566760</v>
      </c>
      <c r="F332" s="90">
        <v>52566752</v>
      </c>
      <c r="G332" s="90" t="s">
        <v>111</v>
      </c>
      <c r="H332" s="92">
        <v>0</v>
      </c>
      <c r="I332" s="91"/>
      <c r="J332" s="93">
        <v>44636.333333333336</v>
      </c>
      <c r="K332" s="93">
        <v>44636.333333333336</v>
      </c>
    </row>
    <row r="333" spans="1:11" x14ac:dyDescent="0.25">
      <c r="A333" s="69">
        <v>299</v>
      </c>
      <c r="B333" s="94" t="s">
        <v>382</v>
      </c>
      <c r="C333" s="90" t="s">
        <v>110</v>
      </c>
      <c r="D333" s="90" t="s">
        <v>437</v>
      </c>
      <c r="E333" s="90">
        <v>52566756</v>
      </c>
      <c r="F333" s="90">
        <v>52566752</v>
      </c>
      <c r="G333" s="90" t="s">
        <v>187</v>
      </c>
      <c r="H333" s="92">
        <v>0</v>
      </c>
      <c r="I333" s="91"/>
      <c r="J333" s="93">
        <v>44636.500694444447</v>
      </c>
      <c r="K333" s="93">
        <v>44636.333333333336</v>
      </c>
    </row>
    <row r="334" spans="1:11" x14ac:dyDescent="0.25">
      <c r="A334" s="70">
        <v>300</v>
      </c>
      <c r="B334" s="94" t="s">
        <v>383</v>
      </c>
      <c r="C334" s="90" t="s">
        <v>110</v>
      </c>
      <c r="D334" s="90" t="s">
        <v>436</v>
      </c>
      <c r="E334" s="90">
        <v>52566758</v>
      </c>
      <c r="F334" s="90">
        <v>52566752</v>
      </c>
      <c r="G334" s="90" t="s">
        <v>187</v>
      </c>
      <c r="H334" s="92">
        <v>0</v>
      </c>
      <c r="I334" s="91"/>
      <c r="J334" s="93">
        <v>44636.500694444447</v>
      </c>
      <c r="K334" s="93">
        <v>44636.333333333336</v>
      </c>
    </row>
    <row r="335" spans="1:11" x14ac:dyDescent="0.25">
      <c r="A335" s="69">
        <v>301</v>
      </c>
      <c r="B335" s="94" t="s">
        <v>384</v>
      </c>
      <c r="C335" s="90" t="s">
        <v>110</v>
      </c>
      <c r="D335" s="90" t="s">
        <v>436</v>
      </c>
      <c r="E335" s="90">
        <v>52566755</v>
      </c>
      <c r="F335" s="90">
        <v>52566752</v>
      </c>
      <c r="G335" s="90" t="s">
        <v>108</v>
      </c>
      <c r="H335" s="92">
        <v>3.4722222222222224E-4</v>
      </c>
      <c r="I335" s="93">
        <v>44636.500694444447</v>
      </c>
      <c r="J335" s="93">
        <v>44636.501388888886</v>
      </c>
      <c r="K335" s="93">
        <v>44636.333333333336</v>
      </c>
    </row>
    <row r="336" spans="1:11" x14ac:dyDescent="0.25">
      <c r="A336" s="70">
        <v>302</v>
      </c>
      <c r="B336" s="94" t="s">
        <v>386</v>
      </c>
      <c r="C336" s="90" t="s">
        <v>110</v>
      </c>
      <c r="D336" s="90" t="s">
        <v>436</v>
      </c>
      <c r="E336" s="90">
        <v>52566759</v>
      </c>
      <c r="F336" s="90">
        <v>52566752</v>
      </c>
      <c r="G336" s="90" t="s">
        <v>108</v>
      </c>
      <c r="H336" s="92">
        <v>6.9444444444444447E-4</v>
      </c>
      <c r="I336" s="93">
        <v>44636.500694444447</v>
      </c>
      <c r="J336" s="93">
        <v>44636.501388888886</v>
      </c>
      <c r="K336" s="93">
        <v>44636.333333333336</v>
      </c>
    </row>
    <row r="337" spans="1:11" x14ac:dyDescent="0.25">
      <c r="A337" s="69">
        <v>303</v>
      </c>
      <c r="B337" s="94" t="s">
        <v>385</v>
      </c>
      <c r="C337" s="90" t="s">
        <v>110</v>
      </c>
      <c r="D337" s="90" t="s">
        <v>436</v>
      </c>
      <c r="E337" s="90">
        <v>52566754</v>
      </c>
      <c r="F337" s="90">
        <v>52566752</v>
      </c>
      <c r="G337" s="90" t="s">
        <v>108</v>
      </c>
      <c r="H337" s="92">
        <v>3.4722222222222224E-4</v>
      </c>
      <c r="I337" s="93">
        <v>44636.500694444447</v>
      </c>
      <c r="J337" s="93">
        <v>44636.500694444447</v>
      </c>
      <c r="K337" s="93">
        <v>44636.333333333336</v>
      </c>
    </row>
    <row r="338" spans="1:11" x14ac:dyDescent="0.25">
      <c r="A338" s="70">
        <v>304</v>
      </c>
      <c r="B338" s="94" t="s">
        <v>387</v>
      </c>
      <c r="C338" s="90" t="s">
        <v>110</v>
      </c>
      <c r="D338" s="90" t="s">
        <v>437</v>
      </c>
      <c r="E338" s="90">
        <v>52566753</v>
      </c>
      <c r="F338" s="90">
        <v>52566752</v>
      </c>
      <c r="G338" s="90" t="s">
        <v>108</v>
      </c>
      <c r="H338" s="92">
        <v>0</v>
      </c>
      <c r="I338" s="93">
        <v>44636.500694444447</v>
      </c>
      <c r="J338" s="93">
        <v>44636.500694444447</v>
      </c>
      <c r="K338" s="93">
        <v>44636.333333333336</v>
      </c>
    </row>
    <row r="339" spans="1:11" x14ac:dyDescent="0.25">
      <c r="A339" s="69">
        <v>305</v>
      </c>
      <c r="B339" s="89" t="s">
        <v>393</v>
      </c>
      <c r="C339" s="90" t="s">
        <v>110</v>
      </c>
      <c r="D339" s="90" t="s">
        <v>437</v>
      </c>
      <c r="E339" s="90">
        <v>52566776</v>
      </c>
      <c r="F339" s="90">
        <v>52565645</v>
      </c>
      <c r="G339" s="90" t="s">
        <v>108</v>
      </c>
      <c r="H339" s="92">
        <v>0</v>
      </c>
      <c r="I339" s="93">
        <v>44636.579861111109</v>
      </c>
      <c r="J339" s="93">
        <v>44636.579861111109</v>
      </c>
      <c r="K339" s="93">
        <v>44636.333333333336</v>
      </c>
    </row>
    <row r="340" spans="1:11" x14ac:dyDescent="0.25">
      <c r="A340" s="70">
        <v>306</v>
      </c>
      <c r="B340" s="89" t="s">
        <v>401</v>
      </c>
      <c r="C340" s="90" t="s">
        <v>110</v>
      </c>
      <c r="D340" s="90" t="s">
        <v>437</v>
      </c>
      <c r="E340" s="90">
        <v>52566782</v>
      </c>
      <c r="F340" s="90">
        <v>52565645</v>
      </c>
      <c r="G340" s="90" t="s">
        <v>108</v>
      </c>
      <c r="H340" s="92">
        <v>2.4212962962962964E-2</v>
      </c>
      <c r="I340" s="93">
        <v>44636.579861111109</v>
      </c>
      <c r="J340" s="93">
        <v>44636.604166666664</v>
      </c>
      <c r="K340" s="93">
        <v>44636.333333333336</v>
      </c>
    </row>
    <row r="341" spans="1:11" x14ac:dyDescent="0.25">
      <c r="A341" s="69">
        <v>307</v>
      </c>
      <c r="B341" s="89" t="s">
        <v>96</v>
      </c>
      <c r="C341" s="90" t="s">
        <v>107</v>
      </c>
      <c r="D341" s="91"/>
      <c r="E341" s="90">
        <v>52566775</v>
      </c>
      <c r="F341" s="90">
        <v>52565645</v>
      </c>
      <c r="G341" s="90" t="s">
        <v>108</v>
      </c>
      <c r="H341" s="92">
        <v>5.3622685185185183E-2</v>
      </c>
      <c r="I341" s="93">
        <v>44636.579861111109</v>
      </c>
      <c r="J341" s="93">
        <v>44636.633333333331</v>
      </c>
      <c r="K341" s="93">
        <v>44636.333333333336</v>
      </c>
    </row>
    <row r="342" spans="1:11" x14ac:dyDescent="0.25">
      <c r="A342" s="70">
        <v>308</v>
      </c>
      <c r="B342" s="94" t="s">
        <v>394</v>
      </c>
      <c r="C342" s="90" t="s">
        <v>110</v>
      </c>
      <c r="D342" s="90" t="s">
        <v>437</v>
      </c>
      <c r="E342" s="90">
        <v>52570767</v>
      </c>
      <c r="F342" s="90">
        <v>52566775</v>
      </c>
      <c r="G342" s="90" t="s">
        <v>108</v>
      </c>
      <c r="H342" s="92">
        <v>1.1574074074074073E-5</v>
      </c>
      <c r="I342" s="93">
        <v>44636.633333333331</v>
      </c>
      <c r="J342" s="93">
        <v>44636.633333333331</v>
      </c>
      <c r="K342" s="93">
        <v>44636.579861111109</v>
      </c>
    </row>
    <row r="343" spans="1:11" x14ac:dyDescent="0.25">
      <c r="A343" s="69">
        <v>309</v>
      </c>
      <c r="B343" s="94" t="s">
        <v>395</v>
      </c>
      <c r="C343" s="90" t="s">
        <v>110</v>
      </c>
      <c r="D343" s="90" t="s">
        <v>437</v>
      </c>
      <c r="E343" s="90">
        <v>52570766</v>
      </c>
      <c r="F343" s="90">
        <v>52566775</v>
      </c>
      <c r="G343" s="90" t="s">
        <v>108</v>
      </c>
      <c r="H343" s="92">
        <v>6.8287037037037025E-4</v>
      </c>
      <c r="I343" s="93">
        <v>44636.632638888892</v>
      </c>
      <c r="J343" s="93">
        <v>44636.633333333331</v>
      </c>
      <c r="K343" s="93">
        <v>44636.579861111109</v>
      </c>
    </row>
    <row r="344" spans="1:11" x14ac:dyDescent="0.25">
      <c r="A344" s="70">
        <v>310</v>
      </c>
      <c r="B344" s="94" t="s">
        <v>396</v>
      </c>
      <c r="C344" s="90" t="s">
        <v>110</v>
      </c>
      <c r="D344" s="90" t="s">
        <v>437</v>
      </c>
      <c r="E344" s="90">
        <v>52569879</v>
      </c>
      <c r="F344" s="90">
        <v>52566775</v>
      </c>
      <c r="G344" s="90" t="s">
        <v>108</v>
      </c>
      <c r="H344" s="92">
        <v>1.1145833333333334E-2</v>
      </c>
      <c r="I344" s="93">
        <v>44636.621527777781</v>
      </c>
      <c r="J344" s="93">
        <v>44636.632638888892</v>
      </c>
      <c r="K344" s="93">
        <v>44636.579861111109</v>
      </c>
    </row>
    <row r="345" spans="1:11" x14ac:dyDescent="0.25">
      <c r="A345" s="69">
        <v>311</v>
      </c>
      <c r="B345" s="94" t="s">
        <v>397</v>
      </c>
      <c r="C345" s="90" t="s">
        <v>110</v>
      </c>
      <c r="D345" s="90" t="s">
        <v>437</v>
      </c>
      <c r="E345" s="90">
        <v>52569878</v>
      </c>
      <c r="F345" s="90">
        <v>52566775</v>
      </c>
      <c r="G345" s="90" t="s">
        <v>108</v>
      </c>
      <c r="H345" s="92">
        <v>9.2592592592592588E-5</v>
      </c>
      <c r="I345" s="93">
        <v>44636.621527777781</v>
      </c>
      <c r="J345" s="93">
        <v>44636.621527777781</v>
      </c>
      <c r="K345" s="93">
        <v>44636.579861111109</v>
      </c>
    </row>
    <row r="346" spans="1:11" x14ac:dyDescent="0.25">
      <c r="A346" s="70">
        <v>312</v>
      </c>
      <c r="B346" s="94" t="s">
        <v>398</v>
      </c>
      <c r="C346" s="90" t="s">
        <v>110</v>
      </c>
      <c r="D346" s="90" t="s">
        <v>437</v>
      </c>
      <c r="E346" s="90">
        <v>52569877</v>
      </c>
      <c r="F346" s="90">
        <v>52566775</v>
      </c>
      <c r="G346" s="90" t="s">
        <v>108</v>
      </c>
      <c r="H346" s="92">
        <v>4.0856481481481487E-2</v>
      </c>
      <c r="I346" s="93">
        <v>44636.580555555556</v>
      </c>
      <c r="J346" s="93">
        <v>44636.621527777781</v>
      </c>
      <c r="K346" s="93">
        <v>44636.579861111109</v>
      </c>
    </row>
    <row r="347" spans="1:11" x14ac:dyDescent="0.25">
      <c r="A347" s="69">
        <v>313</v>
      </c>
      <c r="B347" s="94" t="s">
        <v>399</v>
      </c>
      <c r="C347" s="90" t="s">
        <v>110</v>
      </c>
      <c r="D347" s="90" t="s">
        <v>437</v>
      </c>
      <c r="E347" s="90">
        <v>52572892</v>
      </c>
      <c r="F347" s="90">
        <v>52566775</v>
      </c>
      <c r="G347" s="90" t="s">
        <v>108</v>
      </c>
      <c r="H347" s="92">
        <v>1.1574074074074073E-5</v>
      </c>
      <c r="I347" s="93">
        <v>44636.580555555556</v>
      </c>
      <c r="J347" s="93">
        <v>44636.580555555556</v>
      </c>
      <c r="K347" s="93">
        <v>44636.579861111109</v>
      </c>
    </row>
    <row r="348" spans="1:11" x14ac:dyDescent="0.25">
      <c r="A348" s="70">
        <v>314</v>
      </c>
      <c r="B348" s="94" t="s">
        <v>400</v>
      </c>
      <c r="C348" s="90" t="s">
        <v>110</v>
      </c>
      <c r="D348" s="90" t="s">
        <v>437</v>
      </c>
      <c r="E348" s="90">
        <v>52570765</v>
      </c>
      <c r="F348" s="90">
        <v>52566775</v>
      </c>
      <c r="G348" s="90" t="s">
        <v>108</v>
      </c>
      <c r="H348" s="92">
        <v>1.1574074074074073E-5</v>
      </c>
      <c r="I348" s="93">
        <v>44636.579861111109</v>
      </c>
      <c r="J348" s="93">
        <v>44636.579861111109</v>
      </c>
      <c r="K348" s="93">
        <v>44636.579861111109</v>
      </c>
    </row>
    <row r="349" spans="1:11" x14ac:dyDescent="0.25">
      <c r="A349" s="69">
        <v>315</v>
      </c>
      <c r="B349" s="89" t="s">
        <v>95</v>
      </c>
      <c r="C349" s="90" t="s">
        <v>107</v>
      </c>
      <c r="D349" s="91"/>
      <c r="E349" s="90">
        <v>52566777</v>
      </c>
      <c r="F349" s="90">
        <v>52565645</v>
      </c>
      <c r="G349" s="90" t="s">
        <v>108</v>
      </c>
      <c r="H349" s="92">
        <v>7.7557870370370374E-2</v>
      </c>
      <c r="I349" s="93">
        <v>44636.579861111109</v>
      </c>
      <c r="J349" s="93">
        <v>44636.656944444447</v>
      </c>
      <c r="K349" s="93">
        <v>44636.333333333336</v>
      </c>
    </row>
    <row r="350" spans="1:11" x14ac:dyDescent="0.25">
      <c r="A350" s="70">
        <v>316</v>
      </c>
      <c r="B350" s="94" t="s">
        <v>389</v>
      </c>
      <c r="C350" s="90" t="s">
        <v>110</v>
      </c>
      <c r="D350" s="90" t="s">
        <v>437</v>
      </c>
      <c r="E350" s="90">
        <v>52566781</v>
      </c>
      <c r="F350" s="90">
        <v>52566777</v>
      </c>
      <c r="G350" s="90" t="s">
        <v>108</v>
      </c>
      <c r="H350" s="92">
        <v>2.6469907407407411E-2</v>
      </c>
      <c r="I350" s="93">
        <v>44636.630555555559</v>
      </c>
      <c r="J350" s="93">
        <v>44636.656944444447</v>
      </c>
      <c r="K350" s="93">
        <v>44636.333333333336</v>
      </c>
    </row>
    <row r="351" spans="1:11" x14ac:dyDescent="0.25">
      <c r="A351" s="69">
        <v>317</v>
      </c>
      <c r="B351" s="94" t="s">
        <v>390</v>
      </c>
      <c r="C351" s="90" t="s">
        <v>110</v>
      </c>
      <c r="D351" s="90" t="s">
        <v>436</v>
      </c>
      <c r="E351" s="90">
        <v>52566780</v>
      </c>
      <c r="F351" s="90">
        <v>52566777</v>
      </c>
      <c r="G351" s="90" t="s">
        <v>108</v>
      </c>
      <c r="H351" s="92">
        <v>3.4722222222222224E-4</v>
      </c>
      <c r="I351" s="93">
        <v>44636.630555555559</v>
      </c>
      <c r="J351" s="93">
        <v>44636.630555555559</v>
      </c>
      <c r="K351" s="93">
        <v>44636.333333333336</v>
      </c>
    </row>
    <row r="352" spans="1:11" x14ac:dyDescent="0.25">
      <c r="A352" s="70">
        <v>318</v>
      </c>
      <c r="B352" s="94" t="s">
        <v>391</v>
      </c>
      <c r="C352" s="90" t="s">
        <v>110</v>
      </c>
      <c r="D352" s="90" t="s">
        <v>436</v>
      </c>
      <c r="E352" s="90">
        <v>52566779</v>
      </c>
      <c r="F352" s="90">
        <v>52566777</v>
      </c>
      <c r="G352" s="90" t="s">
        <v>108</v>
      </c>
      <c r="H352" s="92">
        <v>5.0347222222222217E-2</v>
      </c>
      <c r="I352" s="93">
        <v>44636.579861111109</v>
      </c>
      <c r="J352" s="93">
        <v>44636.630555555559</v>
      </c>
      <c r="K352" s="93">
        <v>44636.333333333336</v>
      </c>
    </row>
    <row r="353" spans="1:11" x14ac:dyDescent="0.25">
      <c r="A353" s="69">
        <v>319</v>
      </c>
      <c r="B353" s="94" t="s">
        <v>392</v>
      </c>
      <c r="C353" s="90" t="s">
        <v>110</v>
      </c>
      <c r="D353" s="90" t="s">
        <v>436</v>
      </c>
      <c r="E353" s="90">
        <v>52566778</v>
      </c>
      <c r="F353" s="90">
        <v>52566777</v>
      </c>
      <c r="G353" s="90" t="s">
        <v>108</v>
      </c>
      <c r="H353" s="92">
        <v>3.4722222222222224E-4</v>
      </c>
      <c r="I353" s="93">
        <v>44636.579861111109</v>
      </c>
      <c r="J353" s="93">
        <v>44636.579861111109</v>
      </c>
      <c r="K353" s="93">
        <v>44636.333333333336</v>
      </c>
    </row>
    <row r="354" spans="1:11" x14ac:dyDescent="0.25">
      <c r="A354" s="70">
        <v>320</v>
      </c>
      <c r="B354" s="89" t="s">
        <v>402</v>
      </c>
      <c r="C354" s="90" t="s">
        <v>110</v>
      </c>
      <c r="D354" s="90" t="s">
        <v>437</v>
      </c>
      <c r="E354" s="90">
        <v>52567297</v>
      </c>
      <c r="F354" s="91"/>
      <c r="G354" s="90" t="s">
        <v>108</v>
      </c>
      <c r="H354" s="92">
        <v>2.3148148148148147E-5</v>
      </c>
      <c r="I354" s="93">
        <v>44636.333333333336</v>
      </c>
      <c r="J354" s="93">
        <v>44636.334027777775</v>
      </c>
      <c r="K354" s="93">
        <v>44636.333333333336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B5C5-A2ED-4E80-9287-E63941E032BE}">
  <dimension ref="A2:M355"/>
  <sheetViews>
    <sheetView topLeftCell="A69" workbookViewId="0">
      <selection activeCell="F87" sqref="F87"/>
    </sheetView>
  </sheetViews>
  <sheetFormatPr defaultRowHeight="15" x14ac:dyDescent="0.25"/>
  <cols>
    <col min="2" max="2" width="44.5703125" customWidth="1"/>
    <col min="3" max="3" width="10.85546875" customWidth="1"/>
    <col min="4" max="4" width="17.7109375" customWidth="1"/>
    <col min="5" max="5" width="16.7109375" customWidth="1"/>
    <col min="6" max="6" width="11.7109375" customWidth="1"/>
    <col min="7" max="7" width="17" customWidth="1"/>
    <col min="8" max="9" width="18.42578125" customWidth="1"/>
    <col min="10" max="10" width="17.85546875" customWidth="1"/>
    <col min="11" max="11" width="15.140625" bestFit="1" customWidth="1"/>
    <col min="12" max="12" width="16.140625" customWidth="1"/>
    <col min="13" max="13" width="20.85546875" customWidth="1"/>
  </cols>
  <sheetData>
    <row r="2" spans="2:13" x14ac:dyDescent="0.25">
      <c r="B2" s="51" t="s">
        <v>68</v>
      </c>
      <c r="C2" s="52">
        <v>0.3059837962962963</v>
      </c>
      <c r="D2" s="53">
        <v>44645.333333333336</v>
      </c>
      <c r="E2" s="53">
        <v>44645.63958333333</v>
      </c>
      <c r="F2" s="64"/>
      <c r="G2" s="52">
        <f>C2</f>
        <v>0.3059837962962963</v>
      </c>
      <c r="H2" s="54">
        <f>D2+"02:00:00"</f>
        <v>44645.416666666672</v>
      </c>
      <c r="I2" s="54">
        <f>E2+"02:00:00"</f>
        <v>44645.722916666666</v>
      </c>
      <c r="K2" s="52">
        <f>M2-L2</f>
        <v>0.34444444443943212</v>
      </c>
      <c r="L2" s="54">
        <v>44645.416666666672</v>
      </c>
      <c r="M2" s="54">
        <f>I2+"00:55:00"</f>
        <v>44645.761111111111</v>
      </c>
    </row>
    <row r="3" spans="2:13" x14ac:dyDescent="0.25">
      <c r="B3" s="55" t="s">
        <v>69</v>
      </c>
      <c r="C3" s="56">
        <v>5.3900462962962963E-2</v>
      </c>
      <c r="D3" s="57">
        <v>44645.334027777775</v>
      </c>
      <c r="E3" s="57">
        <v>44645.387499999997</v>
      </c>
      <c r="G3" s="52">
        <f>C3</f>
        <v>5.3900462962962963E-2</v>
      </c>
      <c r="H3" s="54">
        <f t="shared" ref="H3:I28" si="0">D3+"02:00:00"</f>
        <v>44645.417361111111</v>
      </c>
      <c r="I3" s="54">
        <f t="shared" si="0"/>
        <v>44645.470833333333</v>
      </c>
      <c r="K3" s="52">
        <v>5.3900462962962963E-2</v>
      </c>
      <c r="L3" s="54">
        <v>44645.417361111111</v>
      </c>
      <c r="M3" s="54">
        <v>44645.470833333333</v>
      </c>
    </row>
    <row r="4" spans="2:13" x14ac:dyDescent="0.25">
      <c r="B4" s="58" t="s">
        <v>70</v>
      </c>
      <c r="C4" s="60">
        <v>5.6365740740740742E-3</v>
      </c>
      <c r="D4" s="54">
        <v>44645.393750000003</v>
      </c>
      <c r="E4" s="54">
        <v>44645.399305555555</v>
      </c>
      <c r="F4" s="59"/>
      <c r="G4" s="52">
        <f>C4</f>
        <v>5.6365740740740742E-3</v>
      </c>
      <c r="H4" s="54">
        <f t="shared" si="0"/>
        <v>44645.477083333339</v>
      </c>
      <c r="I4" s="54">
        <f t="shared" si="0"/>
        <v>44645.482638888891</v>
      </c>
      <c r="K4" s="52">
        <v>5.6365740740740742E-3</v>
      </c>
      <c r="L4" s="54">
        <v>44645.477083333339</v>
      </c>
      <c r="M4" s="54">
        <v>44645.482638888891</v>
      </c>
    </row>
    <row r="5" spans="2:13" x14ac:dyDescent="0.25">
      <c r="B5" s="58" t="s">
        <v>71</v>
      </c>
      <c r="C5" s="60">
        <v>1.7430555555555557E-2</v>
      </c>
      <c r="D5" s="54">
        <v>44645.393750000003</v>
      </c>
      <c r="E5" s="54">
        <v>44645.411111111112</v>
      </c>
      <c r="F5" s="59"/>
      <c r="G5" s="52">
        <f>C5</f>
        <v>1.7430555555555557E-2</v>
      </c>
      <c r="H5" s="54">
        <f t="shared" si="0"/>
        <v>44645.477083333339</v>
      </c>
      <c r="I5" s="54">
        <f t="shared" si="0"/>
        <v>44645.494444444448</v>
      </c>
      <c r="K5" s="52">
        <v>1.7430555555555557E-2</v>
      </c>
      <c r="L5" s="54">
        <v>44645.477083333339</v>
      </c>
      <c r="M5" s="54">
        <v>44645.494444444448</v>
      </c>
    </row>
    <row r="6" spans="2:13" ht="15.75" x14ac:dyDescent="0.25">
      <c r="B6" s="61" t="s">
        <v>73</v>
      </c>
      <c r="C6" s="79">
        <v>3.8425925925925923E-3</v>
      </c>
      <c r="D6" s="80">
        <v>44645.411111111112</v>
      </c>
      <c r="E6" s="80">
        <v>44645.414583333331</v>
      </c>
      <c r="G6" s="52">
        <f t="shared" ref="G6:G28" si="1">C6</f>
        <v>3.8425925925925923E-3</v>
      </c>
      <c r="H6" s="54">
        <f t="shared" si="0"/>
        <v>44645.494444444448</v>
      </c>
      <c r="I6" s="54">
        <f t="shared" si="0"/>
        <v>44645.497916666667</v>
      </c>
      <c r="K6" s="52">
        <v>3.8425925925925923E-3</v>
      </c>
      <c r="L6" s="54">
        <v>44645.494444444448</v>
      </c>
      <c r="M6" s="54">
        <v>44645.497916666667</v>
      </c>
    </row>
    <row r="7" spans="2:13" ht="15.75" x14ac:dyDescent="0.25">
      <c r="B7" s="62" t="s">
        <v>74</v>
      </c>
      <c r="G7" s="52"/>
      <c r="H7" s="54"/>
      <c r="I7" s="54"/>
      <c r="K7" s="60">
        <f>M7-L7</f>
        <v>3.8194444445252884E-2</v>
      </c>
      <c r="L7" s="54">
        <v>44645.482638888891</v>
      </c>
      <c r="M7" s="54">
        <v>44645.520833333336</v>
      </c>
    </row>
    <row r="8" spans="2:13" x14ac:dyDescent="0.25">
      <c r="B8" s="58" t="s">
        <v>75</v>
      </c>
      <c r="C8" s="60">
        <v>6.0787037037037035E-2</v>
      </c>
      <c r="D8" s="54">
        <v>44645.399305555555</v>
      </c>
      <c r="E8" s="54">
        <v>44645.459722222222</v>
      </c>
      <c r="G8" s="52">
        <f t="shared" si="1"/>
        <v>6.0787037037037035E-2</v>
      </c>
      <c r="H8" s="54">
        <f t="shared" si="0"/>
        <v>44645.482638888891</v>
      </c>
      <c r="I8" s="54">
        <f t="shared" si="0"/>
        <v>44645.543055555558</v>
      </c>
      <c r="K8" s="60">
        <v>6.0787037037037035E-2</v>
      </c>
      <c r="L8" s="54">
        <f>H8+"00:55:00"</f>
        <v>44645.520833333336</v>
      </c>
      <c r="M8" s="54">
        <f>I8+"00:55:00"</f>
        <v>44645.581250000003</v>
      </c>
    </row>
    <row r="9" spans="2:13" ht="15.75" x14ac:dyDescent="0.25">
      <c r="B9" s="61" t="s">
        <v>76</v>
      </c>
      <c r="C9" s="60">
        <v>7.407407407407407E-4</v>
      </c>
      <c r="D9" s="54">
        <v>44645.459027777775</v>
      </c>
      <c r="E9" s="54">
        <v>44645.459722222222</v>
      </c>
      <c r="F9" s="59"/>
      <c r="G9" s="52">
        <f t="shared" si="1"/>
        <v>7.407407407407407E-4</v>
      </c>
      <c r="H9" s="54">
        <f t="shared" si="0"/>
        <v>44645.542361111111</v>
      </c>
      <c r="I9" s="54">
        <f t="shared" si="0"/>
        <v>44645.543055555558</v>
      </c>
      <c r="K9" s="60">
        <v>7.407407407407407E-4</v>
      </c>
      <c r="L9" s="54">
        <f t="shared" ref="L9:L28" si="2">H9+"00:55:00"</f>
        <v>44645.580555555556</v>
      </c>
      <c r="M9" s="54">
        <f t="shared" ref="M9:M28" si="3">I9+"00:55:00"</f>
        <v>44645.581250000003</v>
      </c>
    </row>
    <row r="10" spans="2:13" x14ac:dyDescent="0.25">
      <c r="B10" s="55" t="s">
        <v>77</v>
      </c>
      <c r="C10" s="56">
        <v>0.13421296296296295</v>
      </c>
      <c r="D10" s="57">
        <v>44645.422222222223</v>
      </c>
      <c r="E10" s="57">
        <v>44645.556250000001</v>
      </c>
      <c r="F10" s="63"/>
      <c r="G10" s="52">
        <f t="shared" si="1"/>
        <v>0.13421296296296295</v>
      </c>
      <c r="H10" s="54">
        <f t="shared" si="0"/>
        <v>44645.505555555559</v>
      </c>
      <c r="I10" s="54">
        <f t="shared" si="0"/>
        <v>44645.639583333337</v>
      </c>
      <c r="K10" s="60">
        <v>0.13421296296296295</v>
      </c>
      <c r="L10" s="54">
        <f t="shared" si="2"/>
        <v>44645.543750000004</v>
      </c>
      <c r="M10" s="54">
        <f t="shared" si="3"/>
        <v>44645.677777777782</v>
      </c>
    </row>
    <row r="11" spans="2:13" x14ac:dyDescent="0.25">
      <c r="B11" s="58" t="s">
        <v>78</v>
      </c>
      <c r="C11" s="60">
        <v>8.711805555555556E-2</v>
      </c>
      <c r="D11" s="54">
        <v>44645.414583333331</v>
      </c>
      <c r="E11" s="54">
        <v>44645.502083333333</v>
      </c>
      <c r="G11" s="52">
        <f t="shared" si="1"/>
        <v>8.711805555555556E-2</v>
      </c>
      <c r="H11" s="54">
        <f t="shared" si="0"/>
        <v>44645.497916666667</v>
      </c>
      <c r="I11" s="54">
        <f t="shared" si="0"/>
        <v>44645.585416666669</v>
      </c>
      <c r="K11" s="60">
        <v>8.711805555555556E-2</v>
      </c>
      <c r="L11" s="54">
        <f t="shared" si="2"/>
        <v>44645.536111111112</v>
      </c>
      <c r="M11" s="54">
        <f t="shared" si="3"/>
        <v>44645.623611111114</v>
      </c>
    </row>
    <row r="12" spans="2:13" x14ac:dyDescent="0.25">
      <c r="B12" s="55" t="s">
        <v>79</v>
      </c>
      <c r="C12" s="60">
        <v>5.7523148148148143E-3</v>
      </c>
      <c r="D12" s="54">
        <v>44645.460416666669</v>
      </c>
      <c r="E12" s="54">
        <v>44645.466666666667</v>
      </c>
      <c r="G12" s="52">
        <f>C12</f>
        <v>5.7523148148148143E-3</v>
      </c>
      <c r="H12" s="54">
        <f t="shared" si="0"/>
        <v>44645.543750000004</v>
      </c>
      <c r="I12" s="54">
        <f t="shared" si="0"/>
        <v>44645.55</v>
      </c>
      <c r="K12" s="60">
        <v>5.7523148148148143E-3</v>
      </c>
      <c r="L12" s="54">
        <f t="shared" si="2"/>
        <v>44645.58194444445</v>
      </c>
      <c r="M12" s="54">
        <f t="shared" si="3"/>
        <v>44645.588194444448</v>
      </c>
    </row>
    <row r="13" spans="2:13" x14ac:dyDescent="0.25">
      <c r="B13" s="58" t="s">
        <v>80</v>
      </c>
      <c r="C13" s="56">
        <v>2.0057870370370368E-2</v>
      </c>
      <c r="D13" s="57">
        <v>44645.466666666667</v>
      </c>
      <c r="E13" s="57">
        <v>44645.486111111109</v>
      </c>
      <c r="G13" s="52">
        <f t="shared" si="1"/>
        <v>2.0057870370370368E-2</v>
      </c>
      <c r="H13" s="54">
        <f t="shared" si="0"/>
        <v>44645.55</v>
      </c>
      <c r="I13" s="54">
        <f t="shared" si="0"/>
        <v>44645.569444444445</v>
      </c>
      <c r="K13" s="60">
        <v>2.0057870370370368E-2</v>
      </c>
      <c r="L13" s="54">
        <f t="shared" si="2"/>
        <v>44645.588194444448</v>
      </c>
      <c r="M13" s="54">
        <f t="shared" si="3"/>
        <v>44645.607638888891</v>
      </c>
    </row>
    <row r="14" spans="2:13" ht="15.75" x14ac:dyDescent="0.25">
      <c r="B14" s="61" t="s">
        <v>81</v>
      </c>
      <c r="C14" s="52">
        <v>4.3981481481481481E-4</v>
      </c>
      <c r="D14" s="53">
        <v>44645.46875</v>
      </c>
      <c r="E14" s="53">
        <v>44645.469444444447</v>
      </c>
      <c r="G14" s="52">
        <f t="shared" si="1"/>
        <v>4.3981481481481481E-4</v>
      </c>
      <c r="H14" s="54">
        <f t="shared" si="0"/>
        <v>44645.552083333336</v>
      </c>
      <c r="I14" s="54">
        <f t="shared" si="0"/>
        <v>44645.552777777782</v>
      </c>
      <c r="K14" s="60">
        <v>4.3981481481481481E-4</v>
      </c>
      <c r="L14" s="54">
        <f t="shared" si="2"/>
        <v>44645.590277777781</v>
      </c>
      <c r="M14" s="54">
        <f t="shared" si="3"/>
        <v>44645.590972222228</v>
      </c>
    </row>
    <row r="15" spans="2:13" ht="15.75" x14ac:dyDescent="0.25">
      <c r="B15" s="61" t="s">
        <v>82</v>
      </c>
      <c r="C15" s="52">
        <v>1.3541666666666667E-2</v>
      </c>
      <c r="D15" s="53">
        <v>44645.468055555553</v>
      </c>
      <c r="E15" s="53">
        <v>44645.481944444444</v>
      </c>
      <c r="G15" s="52">
        <f t="shared" si="1"/>
        <v>1.3541666666666667E-2</v>
      </c>
      <c r="H15" s="54">
        <f t="shared" si="0"/>
        <v>44645.551388888889</v>
      </c>
      <c r="I15" s="54">
        <f t="shared" si="0"/>
        <v>44645.56527777778</v>
      </c>
      <c r="K15" s="60">
        <v>1.3541666666666667E-2</v>
      </c>
      <c r="L15" s="54">
        <f t="shared" si="2"/>
        <v>44645.589583333334</v>
      </c>
      <c r="M15" s="54">
        <f t="shared" si="3"/>
        <v>44645.603472222225</v>
      </c>
    </row>
    <row r="16" spans="2:13" ht="15.75" x14ac:dyDescent="0.25">
      <c r="B16" s="61" t="s">
        <v>83</v>
      </c>
      <c r="C16" s="52">
        <v>5.2083333333333333E-4</v>
      </c>
      <c r="D16" s="53">
        <v>44645.486111111109</v>
      </c>
      <c r="E16" s="53">
        <v>44645.486111111109</v>
      </c>
      <c r="G16" s="52">
        <f t="shared" si="1"/>
        <v>5.2083333333333333E-4</v>
      </c>
      <c r="H16" s="54">
        <f t="shared" si="0"/>
        <v>44645.569444444445</v>
      </c>
      <c r="I16" s="54">
        <f t="shared" si="0"/>
        <v>44645.569444444445</v>
      </c>
      <c r="K16" s="60">
        <v>5.2083333333333333E-4</v>
      </c>
      <c r="L16" s="54">
        <f t="shared" si="2"/>
        <v>44645.607638888891</v>
      </c>
      <c r="M16" s="54">
        <f t="shared" si="3"/>
        <v>44645.607638888891</v>
      </c>
    </row>
    <row r="17" spans="1:13" x14ac:dyDescent="0.25">
      <c r="B17" s="58" t="s">
        <v>84</v>
      </c>
      <c r="C17" s="79">
        <v>6.4236111111111105E-2</v>
      </c>
      <c r="D17" s="80">
        <v>44645.486805555556</v>
      </c>
      <c r="E17" s="80">
        <v>44645.550694444442</v>
      </c>
      <c r="G17" s="52">
        <f t="shared" si="1"/>
        <v>6.4236111111111105E-2</v>
      </c>
      <c r="H17" s="54">
        <f t="shared" si="0"/>
        <v>44645.570138888892</v>
      </c>
      <c r="I17" s="54">
        <f t="shared" si="0"/>
        <v>44645.634027777778</v>
      </c>
      <c r="K17" s="60">
        <v>6.4236111111111105E-2</v>
      </c>
      <c r="L17" s="54">
        <f t="shared" si="2"/>
        <v>44645.608333333337</v>
      </c>
      <c r="M17" s="54">
        <f t="shared" si="3"/>
        <v>44645.672222222223</v>
      </c>
    </row>
    <row r="18" spans="1:13" x14ac:dyDescent="0.25">
      <c r="B18" s="58" t="s">
        <v>85</v>
      </c>
      <c r="C18" s="56">
        <v>4.4953703703703697E-2</v>
      </c>
      <c r="D18" s="57">
        <v>44645.466666666667</v>
      </c>
      <c r="E18" s="57">
        <v>44645.511111111111</v>
      </c>
      <c r="F18" s="64"/>
      <c r="G18" s="52">
        <f t="shared" si="1"/>
        <v>4.4953703703703697E-2</v>
      </c>
      <c r="H18" s="54">
        <f t="shared" si="0"/>
        <v>44645.55</v>
      </c>
      <c r="I18" s="54">
        <f t="shared" si="0"/>
        <v>44645.594444444447</v>
      </c>
      <c r="K18" s="60">
        <v>4.4953703703703697E-2</v>
      </c>
      <c r="L18" s="54">
        <f t="shared" si="2"/>
        <v>44645.588194444448</v>
      </c>
      <c r="M18" s="54">
        <f t="shared" si="3"/>
        <v>44645.632638888892</v>
      </c>
    </row>
    <row r="19" spans="1:13" ht="15.75" x14ac:dyDescent="0.25">
      <c r="B19" s="61" t="s">
        <v>86</v>
      </c>
      <c r="C19" s="52">
        <v>9.1435185185185185E-4</v>
      </c>
      <c r="D19" s="53">
        <v>44645.500694444447</v>
      </c>
      <c r="E19" s="53">
        <v>44645.501388888886</v>
      </c>
      <c r="G19" s="52">
        <f t="shared" si="1"/>
        <v>9.1435185185185185E-4</v>
      </c>
      <c r="H19" s="54">
        <f t="shared" si="0"/>
        <v>44645.584027777782</v>
      </c>
      <c r="I19" s="54">
        <f t="shared" si="0"/>
        <v>44645.584722222222</v>
      </c>
      <c r="K19" s="60">
        <v>9.1435185185185185E-4</v>
      </c>
      <c r="L19" s="54">
        <f t="shared" si="2"/>
        <v>44645.622222222228</v>
      </c>
      <c r="M19" s="54">
        <f t="shared" si="3"/>
        <v>44645.622916666667</v>
      </c>
    </row>
    <row r="20" spans="1:13" ht="15.75" x14ac:dyDescent="0.25">
      <c r="B20" s="65" t="s">
        <v>87</v>
      </c>
      <c r="C20" s="52">
        <v>2.4421296296296296E-3</v>
      </c>
      <c r="D20" s="53">
        <v>44645.48333333333</v>
      </c>
      <c r="E20" s="53">
        <v>44645.486111111109</v>
      </c>
      <c r="G20" s="52">
        <f t="shared" si="1"/>
        <v>2.4421296296296296E-3</v>
      </c>
      <c r="H20" s="54">
        <f t="shared" si="0"/>
        <v>44645.566666666666</v>
      </c>
      <c r="I20" s="54">
        <f t="shared" si="0"/>
        <v>44645.569444444445</v>
      </c>
      <c r="K20" s="60">
        <v>2.4421296296296296E-3</v>
      </c>
      <c r="L20" s="54">
        <f t="shared" si="2"/>
        <v>44645.604861111111</v>
      </c>
      <c r="M20" s="54">
        <f t="shared" si="3"/>
        <v>44645.607638888891</v>
      </c>
    </row>
    <row r="21" spans="1:13" x14ac:dyDescent="0.25">
      <c r="B21" s="58" t="s">
        <v>88</v>
      </c>
      <c r="C21" s="79">
        <v>5.0810185185185186E-3</v>
      </c>
      <c r="D21" s="80">
        <v>44645.550694444442</v>
      </c>
      <c r="E21" s="80">
        <v>44645.555555555555</v>
      </c>
      <c r="G21" s="52">
        <f t="shared" si="1"/>
        <v>5.0810185185185186E-3</v>
      </c>
      <c r="H21" s="54">
        <f t="shared" si="0"/>
        <v>44645.634027777778</v>
      </c>
      <c r="I21" s="54">
        <f t="shared" si="0"/>
        <v>44645.638888888891</v>
      </c>
      <c r="K21" s="60">
        <v>5.0810185185185186E-3</v>
      </c>
      <c r="L21" s="54">
        <f t="shared" si="2"/>
        <v>44645.672222222223</v>
      </c>
      <c r="M21" s="54">
        <f t="shared" si="3"/>
        <v>44645.677083333336</v>
      </c>
    </row>
    <row r="22" spans="1:13" x14ac:dyDescent="0.25">
      <c r="B22" s="55" t="s">
        <v>89</v>
      </c>
      <c r="C22" s="56">
        <v>2.327546296296296E-2</v>
      </c>
      <c r="D22" s="57">
        <v>44645.466666666667</v>
      </c>
      <c r="E22" s="57">
        <v>44645.489583333336</v>
      </c>
      <c r="F22" s="59"/>
      <c r="G22" s="52">
        <f t="shared" si="1"/>
        <v>2.327546296296296E-2</v>
      </c>
      <c r="H22" s="54">
        <f t="shared" si="0"/>
        <v>44645.55</v>
      </c>
      <c r="I22" s="54">
        <f t="shared" si="0"/>
        <v>44645.572916666672</v>
      </c>
      <c r="K22" s="60">
        <v>2.327546296296296E-2</v>
      </c>
      <c r="L22" s="54">
        <f t="shared" si="2"/>
        <v>44645.588194444448</v>
      </c>
      <c r="M22" s="54">
        <f t="shared" si="3"/>
        <v>44645.611111111117</v>
      </c>
    </row>
    <row r="23" spans="1:13" ht="15.75" x14ac:dyDescent="0.25">
      <c r="B23" s="61" t="s">
        <v>90</v>
      </c>
      <c r="C23" s="56">
        <v>2.7199074074074074E-3</v>
      </c>
      <c r="D23" s="57">
        <v>44645.486805555556</v>
      </c>
      <c r="E23" s="57">
        <v>44645.489583333336</v>
      </c>
      <c r="G23" s="52">
        <f t="shared" si="1"/>
        <v>2.7199074074074074E-3</v>
      </c>
      <c r="H23" s="54">
        <f t="shared" si="0"/>
        <v>44645.570138888892</v>
      </c>
      <c r="I23" s="54">
        <f t="shared" si="0"/>
        <v>44645.572916666672</v>
      </c>
      <c r="K23" s="60">
        <v>2.7199074074074074E-3</v>
      </c>
      <c r="L23" s="54">
        <f t="shared" si="2"/>
        <v>44645.608333333337</v>
      </c>
      <c r="M23" s="54">
        <f t="shared" si="3"/>
        <v>44645.611111111117</v>
      </c>
    </row>
    <row r="24" spans="1:13" ht="15.75" x14ac:dyDescent="0.25">
      <c r="B24" s="61" t="s">
        <v>91</v>
      </c>
      <c r="C24" s="60">
        <v>1.6203703703703703E-4</v>
      </c>
      <c r="D24" s="54">
        <v>44645.489583333336</v>
      </c>
      <c r="E24" s="54">
        <v>44645.489583333336</v>
      </c>
      <c r="G24" s="52">
        <f t="shared" si="1"/>
        <v>1.6203703703703703E-4</v>
      </c>
      <c r="H24" s="54">
        <f t="shared" si="0"/>
        <v>44645.572916666672</v>
      </c>
      <c r="I24" s="54">
        <f t="shared" si="0"/>
        <v>44645.572916666672</v>
      </c>
      <c r="K24" s="60">
        <v>1.6203703703703703E-4</v>
      </c>
      <c r="L24" s="54">
        <f t="shared" si="2"/>
        <v>44645.611111111117</v>
      </c>
      <c r="M24" s="54">
        <f t="shared" si="3"/>
        <v>44645.611111111117</v>
      </c>
    </row>
    <row r="25" spans="1:13" x14ac:dyDescent="0.25">
      <c r="A25" t="s">
        <v>92</v>
      </c>
      <c r="B25" s="55" t="s">
        <v>93</v>
      </c>
      <c r="C25" s="56">
        <v>1.9571759259259257E-2</v>
      </c>
      <c r="D25" s="57">
        <v>44645.44027777778</v>
      </c>
      <c r="E25" s="57">
        <v>44645.459722222222</v>
      </c>
      <c r="F25" s="66"/>
      <c r="G25" s="52">
        <f t="shared" si="1"/>
        <v>1.9571759259259257E-2</v>
      </c>
      <c r="H25" s="54">
        <f t="shared" si="0"/>
        <v>44645.523611111115</v>
      </c>
      <c r="I25" s="54">
        <f t="shared" si="0"/>
        <v>44645.543055555558</v>
      </c>
      <c r="K25" s="60">
        <v>1.9571759259259257E-2</v>
      </c>
      <c r="L25" s="54">
        <f t="shared" si="2"/>
        <v>44645.561805555561</v>
      </c>
      <c r="M25" s="54">
        <f t="shared" si="3"/>
        <v>44645.581250000003</v>
      </c>
    </row>
    <row r="26" spans="1:13" ht="15.75" x14ac:dyDescent="0.25">
      <c r="B26" s="62" t="s">
        <v>94</v>
      </c>
      <c r="C26" s="79">
        <v>6.5509259259259262E-3</v>
      </c>
      <c r="D26" s="80">
        <v>44645.556250000001</v>
      </c>
      <c r="E26" s="80">
        <v>44645.563194444447</v>
      </c>
      <c r="F26" s="63"/>
      <c r="G26" s="52">
        <f>C26</f>
        <v>6.5509259259259262E-3</v>
      </c>
      <c r="H26" s="54">
        <f t="shared" si="0"/>
        <v>44645.639583333337</v>
      </c>
      <c r="I26" s="54">
        <f t="shared" si="0"/>
        <v>44645.646527777782</v>
      </c>
      <c r="K26" s="60">
        <v>6.5509259259259262E-3</v>
      </c>
      <c r="L26" s="54">
        <f t="shared" si="2"/>
        <v>44645.677777777782</v>
      </c>
      <c r="M26" s="54">
        <f t="shared" si="3"/>
        <v>44645.684722222228</v>
      </c>
    </row>
    <row r="27" spans="1:13" ht="15.75" x14ac:dyDescent="0.25">
      <c r="A27" s="67"/>
      <c r="B27" s="62" t="s">
        <v>95</v>
      </c>
      <c r="C27" s="52">
        <v>7.662037037037038E-2</v>
      </c>
      <c r="D27" s="53">
        <v>44645.563194444447</v>
      </c>
      <c r="E27" s="53">
        <v>44645.63958333333</v>
      </c>
      <c r="G27" s="52">
        <f t="shared" si="1"/>
        <v>7.662037037037038E-2</v>
      </c>
      <c r="H27" s="54">
        <f t="shared" si="0"/>
        <v>44645.646527777782</v>
      </c>
      <c r="I27" s="54">
        <f t="shared" si="0"/>
        <v>44645.722916666666</v>
      </c>
      <c r="K27" s="52">
        <v>7.662037037037038E-2</v>
      </c>
      <c r="L27" s="54">
        <f t="shared" si="2"/>
        <v>44645.684722222228</v>
      </c>
      <c r="M27" s="54">
        <f t="shared" si="3"/>
        <v>44645.761111111111</v>
      </c>
    </row>
    <row r="28" spans="1:13" ht="15.75" x14ac:dyDescent="0.25">
      <c r="A28" s="67"/>
      <c r="B28" s="62" t="s">
        <v>96</v>
      </c>
      <c r="C28" s="79">
        <v>5.3067129629629638E-2</v>
      </c>
      <c r="D28" s="80">
        <v>44645.563194444447</v>
      </c>
      <c r="E28" s="80">
        <v>44645.615972222222</v>
      </c>
      <c r="G28" s="52">
        <f t="shared" si="1"/>
        <v>5.3067129629629638E-2</v>
      </c>
      <c r="H28" s="54">
        <f t="shared" si="0"/>
        <v>44645.646527777782</v>
      </c>
      <c r="I28" s="54">
        <f t="shared" si="0"/>
        <v>44645.699305555558</v>
      </c>
      <c r="K28" s="52">
        <v>5.3067129629629638E-2</v>
      </c>
      <c r="L28" s="54">
        <f t="shared" si="2"/>
        <v>44645.684722222228</v>
      </c>
      <c r="M28" s="54">
        <f t="shared" si="3"/>
        <v>44645.737500000003</v>
      </c>
    </row>
    <row r="29" spans="1:13" x14ac:dyDescent="0.25">
      <c r="B29" s="58"/>
      <c r="C29" s="56"/>
      <c r="D29" s="63"/>
      <c r="E29" s="57"/>
    </row>
    <row r="34" spans="1:9" x14ac:dyDescent="0.25">
      <c r="A34" s="68" t="s">
        <v>97</v>
      </c>
      <c r="B34" s="81" t="s">
        <v>98</v>
      </c>
      <c r="C34" s="81" t="s">
        <v>100</v>
      </c>
      <c r="D34" s="81" t="s">
        <v>101</v>
      </c>
      <c r="E34" s="82" t="s">
        <v>102</v>
      </c>
      <c r="F34" s="81" t="s">
        <v>103</v>
      </c>
      <c r="G34" s="81" t="s">
        <v>104</v>
      </c>
      <c r="H34" s="81" t="s">
        <v>105</v>
      </c>
      <c r="I34" s="83" t="s">
        <v>106</v>
      </c>
    </row>
    <row r="35" spans="1:9" x14ac:dyDescent="0.25">
      <c r="A35" s="69">
        <v>1</v>
      </c>
      <c r="B35" s="84" t="s">
        <v>68</v>
      </c>
      <c r="C35" s="85">
        <v>52794056</v>
      </c>
      <c r="D35" s="86"/>
      <c r="E35" s="85" t="s">
        <v>108</v>
      </c>
      <c r="F35" s="87">
        <v>0.3059837962962963</v>
      </c>
      <c r="G35" s="88">
        <v>44645.333333333336</v>
      </c>
      <c r="H35" s="88">
        <v>44645.63958333333</v>
      </c>
      <c r="I35" s="88">
        <v>44645.333333333336</v>
      </c>
    </row>
    <row r="36" spans="1:9" x14ac:dyDescent="0.25">
      <c r="A36" s="70">
        <v>2</v>
      </c>
      <c r="B36" s="89" t="s">
        <v>109</v>
      </c>
      <c r="C36" s="90">
        <v>52793165</v>
      </c>
      <c r="D36" s="90">
        <v>52794056</v>
      </c>
      <c r="E36" s="90" t="s">
        <v>111</v>
      </c>
      <c r="F36" s="92">
        <v>0</v>
      </c>
      <c r="G36" s="91"/>
      <c r="H36" s="93">
        <v>44645.333333333336</v>
      </c>
      <c r="I36" s="93">
        <v>44645.333333333336</v>
      </c>
    </row>
    <row r="37" spans="1:9" x14ac:dyDescent="0.25">
      <c r="A37" s="69">
        <v>3</v>
      </c>
      <c r="B37" s="89" t="s">
        <v>112</v>
      </c>
      <c r="C37" s="90">
        <v>52794069</v>
      </c>
      <c r="D37" s="90">
        <v>52794056</v>
      </c>
      <c r="E37" s="90" t="s">
        <v>111</v>
      </c>
      <c r="F37" s="92">
        <v>0</v>
      </c>
      <c r="G37" s="91"/>
      <c r="H37" s="93">
        <v>44645.333333333336</v>
      </c>
      <c r="I37" s="93">
        <v>44645.333333333336</v>
      </c>
    </row>
    <row r="38" spans="1:9" x14ac:dyDescent="0.25">
      <c r="A38" s="70">
        <v>4</v>
      </c>
      <c r="B38" s="89" t="s">
        <v>93</v>
      </c>
      <c r="C38" s="90">
        <v>52794070</v>
      </c>
      <c r="D38" s="90">
        <v>52794056</v>
      </c>
      <c r="E38" s="90" t="s">
        <v>108</v>
      </c>
      <c r="F38" s="92">
        <v>1.9571759259259257E-2</v>
      </c>
      <c r="G38" s="93">
        <v>44645.44027777778</v>
      </c>
      <c r="H38" s="93">
        <v>44645.459722222222</v>
      </c>
      <c r="I38" s="93">
        <v>44645.333333333336</v>
      </c>
    </row>
    <row r="39" spans="1:9" x14ac:dyDescent="0.25">
      <c r="A39" s="69">
        <v>5</v>
      </c>
      <c r="B39" s="94" t="s">
        <v>113</v>
      </c>
      <c r="C39" s="90">
        <v>52793174</v>
      </c>
      <c r="D39" s="90">
        <v>52794070</v>
      </c>
      <c r="E39" s="90" t="s">
        <v>111</v>
      </c>
      <c r="F39" s="92">
        <v>0</v>
      </c>
      <c r="G39" s="91"/>
      <c r="H39" s="93">
        <v>44645.333333333336</v>
      </c>
      <c r="I39" s="93">
        <v>44645.333333333336</v>
      </c>
    </row>
    <row r="40" spans="1:9" x14ac:dyDescent="0.25">
      <c r="A40" s="70">
        <v>6</v>
      </c>
      <c r="B40" s="94" t="s">
        <v>114</v>
      </c>
      <c r="C40" s="90">
        <v>52792773</v>
      </c>
      <c r="D40" s="90">
        <v>52794070</v>
      </c>
      <c r="E40" s="90" t="s">
        <v>111</v>
      </c>
      <c r="F40" s="92">
        <v>0</v>
      </c>
      <c r="G40" s="91"/>
      <c r="H40" s="93">
        <v>44645.333333333336</v>
      </c>
      <c r="I40" s="93">
        <v>44645.333333333336</v>
      </c>
    </row>
    <row r="41" spans="1:9" x14ac:dyDescent="0.25">
      <c r="A41" s="69">
        <v>7</v>
      </c>
      <c r="B41" s="94" t="s">
        <v>117</v>
      </c>
      <c r="C41" s="90">
        <v>52792772</v>
      </c>
      <c r="D41" s="90">
        <v>52794070</v>
      </c>
      <c r="E41" s="90" t="s">
        <v>108</v>
      </c>
      <c r="F41" s="92">
        <v>1.1574074074074073E-4</v>
      </c>
      <c r="G41" s="93">
        <v>44645.459027777775</v>
      </c>
      <c r="H41" s="93">
        <v>44645.459722222222</v>
      </c>
      <c r="I41" s="93">
        <v>44645.333333333336</v>
      </c>
    </row>
    <row r="42" spans="1:9" x14ac:dyDescent="0.25">
      <c r="A42" s="70">
        <v>8</v>
      </c>
      <c r="B42" s="94" t="s">
        <v>115</v>
      </c>
      <c r="C42" s="90">
        <v>52793173</v>
      </c>
      <c r="D42" s="90">
        <v>52794070</v>
      </c>
      <c r="E42" s="90" t="s">
        <v>108</v>
      </c>
      <c r="F42" s="92">
        <v>2.0833333333333335E-4</v>
      </c>
      <c r="G42" s="93">
        <v>44645.459027777775</v>
      </c>
      <c r="H42" s="93">
        <v>44645.459722222222</v>
      </c>
      <c r="I42" s="93">
        <v>44645.333333333336</v>
      </c>
    </row>
    <row r="43" spans="1:9" x14ac:dyDescent="0.25">
      <c r="A43" s="69">
        <v>9</v>
      </c>
      <c r="B43" s="94" t="s">
        <v>116</v>
      </c>
      <c r="C43" s="90">
        <v>52794073</v>
      </c>
      <c r="D43" s="90">
        <v>52794070</v>
      </c>
      <c r="E43" s="90" t="s">
        <v>108</v>
      </c>
      <c r="F43" s="92">
        <v>3.5879629629629635E-4</v>
      </c>
      <c r="G43" s="93">
        <v>44645.459027777775</v>
      </c>
      <c r="H43" s="93">
        <v>44645.459722222222</v>
      </c>
      <c r="I43" s="93">
        <v>44645.333333333336</v>
      </c>
    </row>
    <row r="44" spans="1:9" x14ac:dyDescent="0.25">
      <c r="A44" s="70">
        <v>10</v>
      </c>
      <c r="B44" s="94" t="s">
        <v>118</v>
      </c>
      <c r="C44" s="90">
        <v>52791728</v>
      </c>
      <c r="D44" s="90">
        <v>52794070</v>
      </c>
      <c r="E44" s="90" t="s">
        <v>108</v>
      </c>
      <c r="F44" s="92">
        <v>5.208333333333333E-3</v>
      </c>
      <c r="G44" s="93">
        <v>44645.45416666667</v>
      </c>
      <c r="H44" s="93">
        <v>44645.459027777775</v>
      </c>
      <c r="I44" s="93">
        <v>44645.333333333336</v>
      </c>
    </row>
    <row r="45" spans="1:9" x14ac:dyDescent="0.25">
      <c r="A45" s="69">
        <v>11</v>
      </c>
      <c r="B45" s="94" t="s">
        <v>120</v>
      </c>
      <c r="C45" s="90">
        <v>52791727</v>
      </c>
      <c r="D45" s="90">
        <v>52794070</v>
      </c>
      <c r="E45" s="90" t="s">
        <v>108</v>
      </c>
      <c r="F45" s="92">
        <v>0</v>
      </c>
      <c r="G45" s="93">
        <v>44645.440972222219</v>
      </c>
      <c r="H45" s="93">
        <v>44645.440972222219</v>
      </c>
      <c r="I45" s="93">
        <v>44645.333333333336</v>
      </c>
    </row>
    <row r="46" spans="1:9" x14ac:dyDescent="0.25">
      <c r="A46" s="70">
        <v>12</v>
      </c>
      <c r="B46" s="94" t="s">
        <v>119</v>
      </c>
      <c r="C46" s="90">
        <v>52794072</v>
      </c>
      <c r="D46" s="90">
        <v>52794070</v>
      </c>
      <c r="E46" s="90" t="s">
        <v>108</v>
      </c>
      <c r="F46" s="92">
        <v>1.2847222222222223E-2</v>
      </c>
      <c r="G46" s="93">
        <v>44645.440972222219</v>
      </c>
      <c r="H46" s="93">
        <v>44645.45416666667</v>
      </c>
      <c r="I46" s="93">
        <v>44645.333333333336</v>
      </c>
    </row>
    <row r="47" spans="1:9" x14ac:dyDescent="0.25">
      <c r="A47" s="69">
        <v>13</v>
      </c>
      <c r="B47" s="94" t="s">
        <v>121</v>
      </c>
      <c r="C47" s="90">
        <v>52793172</v>
      </c>
      <c r="D47" s="90">
        <v>52794070</v>
      </c>
      <c r="E47" s="90" t="s">
        <v>108</v>
      </c>
      <c r="F47" s="92">
        <v>3.4722222222222224E-4</v>
      </c>
      <c r="G47" s="93">
        <v>44645.440972222219</v>
      </c>
      <c r="H47" s="93">
        <v>44645.440972222219</v>
      </c>
      <c r="I47" s="93">
        <v>44645.333333333336</v>
      </c>
    </row>
    <row r="48" spans="1:9" x14ac:dyDescent="0.25">
      <c r="A48" s="70">
        <v>14</v>
      </c>
      <c r="B48" s="94" t="s">
        <v>122</v>
      </c>
      <c r="C48" s="90">
        <v>52791726</v>
      </c>
      <c r="D48" s="90">
        <v>52794070</v>
      </c>
      <c r="E48" s="90" t="s">
        <v>108</v>
      </c>
      <c r="F48" s="92">
        <v>3.4722222222222224E-4</v>
      </c>
      <c r="G48" s="93">
        <v>44645.44027777778</v>
      </c>
      <c r="H48" s="93">
        <v>44645.440972222219</v>
      </c>
      <c r="I48" s="93">
        <v>44645.333333333336</v>
      </c>
    </row>
    <row r="49" spans="1:9" x14ac:dyDescent="0.25">
      <c r="A49" s="69">
        <v>15</v>
      </c>
      <c r="B49" s="94" t="s">
        <v>123</v>
      </c>
      <c r="C49" s="90">
        <v>52791725</v>
      </c>
      <c r="D49" s="90">
        <v>52794070</v>
      </c>
      <c r="E49" s="90" t="s">
        <v>108</v>
      </c>
      <c r="F49" s="92">
        <v>4.6296296296296294E-5</v>
      </c>
      <c r="G49" s="93">
        <v>44645.44027777778</v>
      </c>
      <c r="H49" s="93">
        <v>44645.44027777778</v>
      </c>
      <c r="I49" s="93">
        <v>44645.333333333336</v>
      </c>
    </row>
    <row r="50" spans="1:9" x14ac:dyDescent="0.25">
      <c r="A50" s="70">
        <v>16</v>
      </c>
      <c r="B50" s="94" t="s">
        <v>124</v>
      </c>
      <c r="C50" s="90">
        <v>52789751</v>
      </c>
      <c r="D50" s="90">
        <v>52794070</v>
      </c>
      <c r="E50" s="90" t="s">
        <v>108</v>
      </c>
      <c r="F50" s="92">
        <v>3.4722222222222224E-4</v>
      </c>
      <c r="G50" s="93">
        <v>44645.44027777778</v>
      </c>
      <c r="H50" s="93">
        <v>44645.44027777778</v>
      </c>
      <c r="I50" s="93">
        <v>44645.333333333336</v>
      </c>
    </row>
    <row r="51" spans="1:9" x14ac:dyDescent="0.25">
      <c r="A51" s="69">
        <v>17</v>
      </c>
      <c r="B51" s="89" t="s">
        <v>125</v>
      </c>
      <c r="C51" s="90">
        <v>52791730</v>
      </c>
      <c r="D51" s="90">
        <v>52794056</v>
      </c>
      <c r="E51" s="90" t="s">
        <v>108</v>
      </c>
      <c r="F51" s="92">
        <v>0</v>
      </c>
      <c r="G51" s="93">
        <v>44645.334027777775</v>
      </c>
      <c r="H51" s="93">
        <v>44645.334027777775</v>
      </c>
      <c r="I51" s="93">
        <v>44645.333333333336</v>
      </c>
    </row>
    <row r="52" spans="1:9" x14ac:dyDescent="0.25">
      <c r="A52" s="70">
        <v>18</v>
      </c>
      <c r="B52" s="89" t="s">
        <v>127</v>
      </c>
      <c r="C52" s="90">
        <v>52794075</v>
      </c>
      <c r="D52" s="90">
        <v>52794056</v>
      </c>
      <c r="E52" s="90" t="s">
        <v>108</v>
      </c>
      <c r="F52" s="92">
        <v>3.4722222222222222E-5</v>
      </c>
      <c r="G52" s="93">
        <v>44645.334027777775</v>
      </c>
      <c r="H52" s="93">
        <v>44645.334027777775</v>
      </c>
      <c r="I52" s="93">
        <v>44645.333333333336</v>
      </c>
    </row>
    <row r="53" spans="1:9" x14ac:dyDescent="0.25">
      <c r="A53" s="69">
        <v>19</v>
      </c>
      <c r="B53" s="89" t="s">
        <v>128</v>
      </c>
      <c r="C53" s="90">
        <v>52791729</v>
      </c>
      <c r="D53" s="90">
        <v>52794056</v>
      </c>
      <c r="E53" s="90" t="s">
        <v>108</v>
      </c>
      <c r="F53" s="92">
        <v>0</v>
      </c>
      <c r="G53" s="93">
        <v>44645.334027777775</v>
      </c>
      <c r="H53" s="93">
        <v>44645.334027777775</v>
      </c>
      <c r="I53" s="93">
        <v>44645.333333333336</v>
      </c>
    </row>
    <row r="54" spans="1:9" x14ac:dyDescent="0.25">
      <c r="A54" s="70">
        <v>20</v>
      </c>
      <c r="B54" s="89" t="s">
        <v>69</v>
      </c>
      <c r="C54" s="90">
        <v>52792774</v>
      </c>
      <c r="D54" s="90">
        <v>52794056</v>
      </c>
      <c r="E54" s="90" t="s">
        <v>108</v>
      </c>
      <c r="F54" s="92">
        <v>5.3900462962962963E-2</v>
      </c>
      <c r="G54" s="93">
        <v>44645.334027777775</v>
      </c>
      <c r="H54" s="93">
        <v>44645.387499999997</v>
      </c>
      <c r="I54" s="93">
        <v>44645.333333333336</v>
      </c>
    </row>
    <row r="55" spans="1:9" x14ac:dyDescent="0.25">
      <c r="A55" s="69">
        <v>21</v>
      </c>
      <c r="B55" s="94" t="s">
        <v>129</v>
      </c>
      <c r="C55" s="90">
        <v>52794083</v>
      </c>
      <c r="D55" s="90">
        <v>52792774</v>
      </c>
      <c r="E55" s="90" t="s">
        <v>108</v>
      </c>
      <c r="F55" s="92">
        <v>1.1574074074074073E-5</v>
      </c>
      <c r="G55" s="93">
        <v>44645.387499999997</v>
      </c>
      <c r="H55" s="93">
        <v>44645.387499999997</v>
      </c>
      <c r="I55" s="93">
        <v>44645.333333333336</v>
      </c>
    </row>
    <row r="56" spans="1:9" x14ac:dyDescent="0.25">
      <c r="A56" s="70">
        <v>22</v>
      </c>
      <c r="B56" s="94" t="s">
        <v>130</v>
      </c>
      <c r="C56" s="90">
        <v>52794082</v>
      </c>
      <c r="D56" s="90">
        <v>52792774</v>
      </c>
      <c r="E56" s="90" t="s">
        <v>108</v>
      </c>
      <c r="F56" s="92">
        <v>2.1342592592592594E-2</v>
      </c>
      <c r="G56" s="93">
        <v>44645.365972222222</v>
      </c>
      <c r="H56" s="93">
        <v>44645.387499999997</v>
      </c>
      <c r="I56" s="93">
        <v>44645.333333333336</v>
      </c>
    </row>
    <row r="57" spans="1:9" x14ac:dyDescent="0.25">
      <c r="A57" s="69">
        <v>23</v>
      </c>
      <c r="B57" s="95" t="s">
        <v>129</v>
      </c>
      <c r="C57" s="90">
        <v>52794334</v>
      </c>
      <c r="D57" s="90">
        <v>52794082</v>
      </c>
      <c r="E57" s="90" t="s">
        <v>108</v>
      </c>
      <c r="F57" s="92">
        <v>0</v>
      </c>
      <c r="G57" s="93">
        <v>44645.387499999997</v>
      </c>
      <c r="H57" s="93">
        <v>44645.387499999997</v>
      </c>
      <c r="I57" s="93">
        <v>44645.365972222222</v>
      </c>
    </row>
    <row r="58" spans="1:9" x14ac:dyDescent="0.25">
      <c r="A58" s="70">
        <v>24</v>
      </c>
      <c r="B58" s="95" t="s">
        <v>131</v>
      </c>
      <c r="C58" s="90">
        <v>52794333</v>
      </c>
      <c r="D58" s="90">
        <v>52794082</v>
      </c>
      <c r="E58" s="90" t="s">
        <v>108</v>
      </c>
      <c r="F58" s="92">
        <v>2.4305555555555552E-4</v>
      </c>
      <c r="G58" s="93">
        <v>44645.387499999997</v>
      </c>
      <c r="H58" s="93">
        <v>44645.387499999997</v>
      </c>
      <c r="I58" s="93">
        <v>44645.365972222222</v>
      </c>
    </row>
    <row r="59" spans="1:9" x14ac:dyDescent="0.25">
      <c r="A59" s="69">
        <v>25</v>
      </c>
      <c r="B59" s="95" t="s">
        <v>132</v>
      </c>
      <c r="C59" s="90">
        <v>52794331</v>
      </c>
      <c r="D59" s="90">
        <v>52794082</v>
      </c>
      <c r="E59" s="90" t="s">
        <v>108</v>
      </c>
      <c r="F59" s="92">
        <v>1.273148148148148E-4</v>
      </c>
      <c r="G59" s="93">
        <v>44645.387499999997</v>
      </c>
      <c r="H59" s="93">
        <v>44645.387499999997</v>
      </c>
      <c r="I59" s="93">
        <v>44645.365972222222</v>
      </c>
    </row>
    <row r="60" spans="1:9" x14ac:dyDescent="0.25">
      <c r="A60" s="70">
        <v>26</v>
      </c>
      <c r="B60" s="95" t="s">
        <v>133</v>
      </c>
      <c r="C60" s="90">
        <v>52794330</v>
      </c>
      <c r="D60" s="90">
        <v>52794082</v>
      </c>
      <c r="E60" s="90" t="s">
        <v>108</v>
      </c>
      <c r="F60" s="92">
        <v>7.175925925925927E-4</v>
      </c>
      <c r="G60" s="93">
        <v>44645.386805555558</v>
      </c>
      <c r="H60" s="93">
        <v>44645.387499999997</v>
      </c>
      <c r="I60" s="93">
        <v>44645.365972222222</v>
      </c>
    </row>
    <row r="61" spans="1:9" x14ac:dyDescent="0.25">
      <c r="A61" s="69">
        <v>27</v>
      </c>
      <c r="B61" s="95" t="s">
        <v>136</v>
      </c>
      <c r="C61" s="90">
        <v>52794332</v>
      </c>
      <c r="D61" s="90">
        <v>52794082</v>
      </c>
      <c r="E61" s="90" t="s">
        <v>108</v>
      </c>
      <c r="F61" s="92">
        <v>2.3148148148148146E-4</v>
      </c>
      <c r="G61" s="93">
        <v>44645.385416666664</v>
      </c>
      <c r="H61" s="93">
        <v>44645.386111111111</v>
      </c>
      <c r="I61" s="93">
        <v>44645.365972222222</v>
      </c>
    </row>
    <row r="62" spans="1:9" x14ac:dyDescent="0.25">
      <c r="A62" s="70">
        <v>28</v>
      </c>
      <c r="B62" s="95" t="s">
        <v>134</v>
      </c>
      <c r="C62" s="90">
        <v>52794329</v>
      </c>
      <c r="D62" s="90">
        <v>52794082</v>
      </c>
      <c r="E62" s="90" t="s">
        <v>108</v>
      </c>
      <c r="F62" s="92">
        <v>1.1574074074074073E-5</v>
      </c>
      <c r="G62" s="93">
        <v>44645.385416666664</v>
      </c>
      <c r="H62" s="93">
        <v>44645.385416666664</v>
      </c>
      <c r="I62" s="93">
        <v>44645.365972222222</v>
      </c>
    </row>
    <row r="63" spans="1:9" x14ac:dyDescent="0.25">
      <c r="A63" s="69">
        <v>29</v>
      </c>
      <c r="B63" s="95" t="s">
        <v>135</v>
      </c>
      <c r="C63" s="90">
        <v>52794328</v>
      </c>
      <c r="D63" s="90">
        <v>52794082</v>
      </c>
      <c r="E63" s="90" t="s">
        <v>108</v>
      </c>
      <c r="F63" s="92">
        <v>4.6296296296296294E-5</v>
      </c>
      <c r="G63" s="93">
        <v>44645.385416666664</v>
      </c>
      <c r="H63" s="93">
        <v>44645.385416666664</v>
      </c>
      <c r="I63" s="93">
        <v>44645.365972222222</v>
      </c>
    </row>
    <row r="64" spans="1:9" x14ac:dyDescent="0.25">
      <c r="A64" s="70">
        <v>30</v>
      </c>
      <c r="B64" s="95" t="s">
        <v>137</v>
      </c>
      <c r="C64" s="90">
        <v>52794325</v>
      </c>
      <c r="D64" s="90">
        <v>52794082</v>
      </c>
      <c r="E64" s="90" t="s">
        <v>108</v>
      </c>
      <c r="F64" s="92">
        <v>3.7037037037037035E-4</v>
      </c>
      <c r="G64" s="93">
        <v>44645.384722222225</v>
      </c>
      <c r="H64" s="93">
        <v>44645.385416666664</v>
      </c>
      <c r="I64" s="93">
        <v>44645.365972222222</v>
      </c>
    </row>
    <row r="65" spans="1:9" x14ac:dyDescent="0.25">
      <c r="A65" s="69">
        <v>31</v>
      </c>
      <c r="B65" s="95" t="s">
        <v>138</v>
      </c>
      <c r="C65" s="90">
        <v>52794324</v>
      </c>
      <c r="D65" s="90">
        <v>52794082</v>
      </c>
      <c r="E65" s="90" t="s">
        <v>108</v>
      </c>
      <c r="F65" s="92">
        <v>5.7870370370370366E-5</v>
      </c>
      <c r="G65" s="93">
        <v>44645.384722222225</v>
      </c>
      <c r="H65" s="93">
        <v>44645.384722222225</v>
      </c>
      <c r="I65" s="93">
        <v>44645.365972222222</v>
      </c>
    </row>
    <row r="66" spans="1:9" x14ac:dyDescent="0.25">
      <c r="A66" s="70">
        <v>32</v>
      </c>
      <c r="B66" s="95" t="s">
        <v>141</v>
      </c>
      <c r="C66" s="90">
        <v>52794327</v>
      </c>
      <c r="D66" s="90">
        <v>52794082</v>
      </c>
      <c r="E66" s="90" t="s">
        <v>108</v>
      </c>
      <c r="F66" s="92">
        <v>7.5231481481481471E-4</v>
      </c>
      <c r="G66" s="93">
        <v>44645.384722222225</v>
      </c>
      <c r="H66" s="93">
        <v>44645.385416666664</v>
      </c>
      <c r="I66" s="93">
        <v>44645.365972222222</v>
      </c>
    </row>
    <row r="67" spans="1:9" x14ac:dyDescent="0.25">
      <c r="A67" s="69">
        <v>33</v>
      </c>
      <c r="B67" s="95" t="s">
        <v>139</v>
      </c>
      <c r="C67" s="90">
        <v>52794323</v>
      </c>
      <c r="D67" s="90">
        <v>52794082</v>
      </c>
      <c r="E67" s="90" t="s">
        <v>108</v>
      </c>
      <c r="F67" s="92">
        <v>1.1574074074074073E-4</v>
      </c>
      <c r="G67" s="93">
        <v>44645.384722222225</v>
      </c>
      <c r="H67" s="93">
        <v>44645.384722222225</v>
      </c>
      <c r="I67" s="93">
        <v>44645.365972222222</v>
      </c>
    </row>
    <row r="68" spans="1:9" x14ac:dyDescent="0.25">
      <c r="A68" s="70">
        <v>34</v>
      </c>
      <c r="B68" s="95" t="s">
        <v>140</v>
      </c>
      <c r="C68" s="90">
        <v>52794322</v>
      </c>
      <c r="D68" s="90">
        <v>52794082</v>
      </c>
      <c r="E68" s="90" t="s">
        <v>108</v>
      </c>
      <c r="F68" s="92">
        <v>1.0416666666666667E-4</v>
      </c>
      <c r="G68" s="93">
        <v>44645.384722222225</v>
      </c>
      <c r="H68" s="93">
        <v>44645.384722222225</v>
      </c>
      <c r="I68" s="93">
        <v>44645.365972222222</v>
      </c>
    </row>
    <row r="69" spans="1:9" x14ac:dyDescent="0.25">
      <c r="A69" s="69">
        <v>35</v>
      </c>
      <c r="B69" s="95" t="s">
        <v>142</v>
      </c>
      <c r="C69" s="90">
        <v>52794321</v>
      </c>
      <c r="D69" s="90">
        <v>52794082</v>
      </c>
      <c r="E69" s="90" t="s">
        <v>108</v>
      </c>
      <c r="F69" s="92">
        <v>1.1574074074074073E-4</v>
      </c>
      <c r="G69" s="93">
        <v>44645.384722222225</v>
      </c>
      <c r="H69" s="93">
        <v>44645.384722222225</v>
      </c>
      <c r="I69" s="93">
        <v>44645.365972222222</v>
      </c>
    </row>
    <row r="70" spans="1:9" x14ac:dyDescent="0.25">
      <c r="A70" s="70">
        <v>36</v>
      </c>
      <c r="B70" s="95" t="s">
        <v>143</v>
      </c>
      <c r="C70" s="90">
        <v>52794320</v>
      </c>
      <c r="D70" s="90">
        <v>52794082</v>
      </c>
      <c r="E70" s="90" t="s">
        <v>108</v>
      </c>
      <c r="F70" s="92">
        <v>5.7870370370370366E-5</v>
      </c>
      <c r="G70" s="93">
        <v>44645.384722222225</v>
      </c>
      <c r="H70" s="93">
        <v>44645.384722222225</v>
      </c>
      <c r="I70" s="93">
        <v>44645.365972222222</v>
      </c>
    </row>
    <row r="71" spans="1:9" x14ac:dyDescent="0.25">
      <c r="A71" s="69">
        <v>37</v>
      </c>
      <c r="B71" s="95" t="s">
        <v>144</v>
      </c>
      <c r="C71" s="90">
        <v>52794326</v>
      </c>
      <c r="D71" s="90">
        <v>52794082</v>
      </c>
      <c r="E71" s="90" t="s">
        <v>108</v>
      </c>
      <c r="F71" s="92">
        <v>2.0138888888888888E-3</v>
      </c>
      <c r="G71" s="93">
        <v>44645.384722222225</v>
      </c>
      <c r="H71" s="93">
        <v>44645.386805555558</v>
      </c>
      <c r="I71" s="93">
        <v>44645.365972222222</v>
      </c>
    </row>
    <row r="72" spans="1:9" x14ac:dyDescent="0.25">
      <c r="A72" s="70">
        <v>38</v>
      </c>
      <c r="B72" s="95" t="s">
        <v>145</v>
      </c>
      <c r="C72" s="90">
        <v>52794319</v>
      </c>
      <c r="D72" s="90">
        <v>52794082</v>
      </c>
      <c r="E72" s="90" t="s">
        <v>108</v>
      </c>
      <c r="F72" s="92">
        <v>4.6296296296296294E-5</v>
      </c>
      <c r="G72" s="93">
        <v>44645.384722222225</v>
      </c>
      <c r="H72" s="93">
        <v>44645.384722222225</v>
      </c>
      <c r="I72" s="93">
        <v>44645.365972222222</v>
      </c>
    </row>
    <row r="73" spans="1:9" x14ac:dyDescent="0.25">
      <c r="A73" s="69">
        <v>39</v>
      </c>
      <c r="B73" s="95" t="s">
        <v>146</v>
      </c>
      <c r="C73" s="90">
        <v>52794318</v>
      </c>
      <c r="D73" s="90">
        <v>52794082</v>
      </c>
      <c r="E73" s="90" t="s">
        <v>108</v>
      </c>
      <c r="F73" s="92">
        <v>8.1018518518518516E-5</v>
      </c>
      <c r="G73" s="93">
        <v>44645.384027777778</v>
      </c>
      <c r="H73" s="93">
        <v>44645.384722222225</v>
      </c>
      <c r="I73" s="93">
        <v>44645.365972222222</v>
      </c>
    </row>
    <row r="74" spans="1:9" x14ac:dyDescent="0.25">
      <c r="A74" s="70">
        <v>40</v>
      </c>
      <c r="B74" s="95" t="s">
        <v>147</v>
      </c>
      <c r="C74" s="90">
        <v>52794317</v>
      </c>
      <c r="D74" s="90">
        <v>52794082</v>
      </c>
      <c r="E74" s="90" t="s">
        <v>108</v>
      </c>
      <c r="F74" s="92">
        <v>4.6296296296296294E-5</v>
      </c>
      <c r="G74" s="93">
        <v>44645.384027777778</v>
      </c>
      <c r="H74" s="93">
        <v>44645.384027777778</v>
      </c>
      <c r="I74" s="93">
        <v>44645.365972222222</v>
      </c>
    </row>
    <row r="75" spans="1:9" x14ac:dyDescent="0.25">
      <c r="A75" s="69">
        <v>41</v>
      </c>
      <c r="B75" s="95" t="s">
        <v>148</v>
      </c>
      <c r="C75" s="90">
        <v>52794316</v>
      </c>
      <c r="D75" s="90">
        <v>52794082</v>
      </c>
      <c r="E75" s="90" t="s">
        <v>108</v>
      </c>
      <c r="F75" s="92">
        <v>9.2592592592592588E-5</v>
      </c>
      <c r="G75" s="93">
        <v>44645.384027777778</v>
      </c>
      <c r="H75" s="93">
        <v>44645.384027777778</v>
      </c>
      <c r="I75" s="93">
        <v>44645.365972222222</v>
      </c>
    </row>
    <row r="76" spans="1:9" x14ac:dyDescent="0.25">
      <c r="A76" s="70">
        <v>42</v>
      </c>
      <c r="B76" s="95" t="s">
        <v>149</v>
      </c>
      <c r="C76" s="90">
        <v>52794315</v>
      </c>
      <c r="D76" s="90">
        <v>52794082</v>
      </c>
      <c r="E76" s="90" t="s">
        <v>108</v>
      </c>
      <c r="F76" s="92">
        <v>4.6296296296296294E-5</v>
      </c>
      <c r="G76" s="93">
        <v>44645.384027777778</v>
      </c>
      <c r="H76" s="93">
        <v>44645.384027777778</v>
      </c>
      <c r="I76" s="93">
        <v>44645.365972222222</v>
      </c>
    </row>
    <row r="77" spans="1:9" x14ac:dyDescent="0.25">
      <c r="A77" s="69">
        <v>43</v>
      </c>
      <c r="B77" s="95" t="s">
        <v>150</v>
      </c>
      <c r="C77" s="90">
        <v>52794314</v>
      </c>
      <c r="D77" s="90">
        <v>52794082</v>
      </c>
      <c r="E77" s="90" t="s">
        <v>108</v>
      </c>
      <c r="F77" s="92">
        <v>7.175925925925927E-4</v>
      </c>
      <c r="G77" s="93">
        <v>44645.384027777778</v>
      </c>
      <c r="H77" s="93">
        <v>44645.384722222225</v>
      </c>
      <c r="I77" s="93">
        <v>44645.365972222222</v>
      </c>
    </row>
    <row r="78" spans="1:9" x14ac:dyDescent="0.25">
      <c r="A78" s="70">
        <v>44</v>
      </c>
      <c r="B78" s="95" t="s">
        <v>151</v>
      </c>
      <c r="C78" s="90">
        <v>52794313</v>
      </c>
      <c r="D78" s="90">
        <v>52794082</v>
      </c>
      <c r="E78" s="90" t="s">
        <v>108</v>
      </c>
      <c r="F78" s="92">
        <v>4.6180555555555558E-3</v>
      </c>
      <c r="G78" s="93">
        <v>44645.379166666666</v>
      </c>
      <c r="H78" s="93">
        <v>44645.384027777778</v>
      </c>
      <c r="I78" s="93">
        <v>44645.365972222222</v>
      </c>
    </row>
    <row r="79" spans="1:9" x14ac:dyDescent="0.25">
      <c r="A79" s="69">
        <v>45</v>
      </c>
      <c r="B79" s="95" t="s">
        <v>152</v>
      </c>
      <c r="C79" s="90">
        <v>52794312</v>
      </c>
      <c r="D79" s="90">
        <v>52794082</v>
      </c>
      <c r="E79" s="90" t="s">
        <v>108</v>
      </c>
      <c r="F79" s="92">
        <v>6.8171296296296287E-3</v>
      </c>
      <c r="G79" s="93">
        <v>44645.372916666667</v>
      </c>
      <c r="H79" s="93">
        <v>44645.379166666666</v>
      </c>
      <c r="I79" s="93">
        <v>44645.365972222222</v>
      </c>
    </row>
    <row r="80" spans="1:9" x14ac:dyDescent="0.25">
      <c r="A80" s="70">
        <v>46</v>
      </c>
      <c r="B80" s="95" t="s">
        <v>153</v>
      </c>
      <c r="C80" s="90">
        <v>52794311</v>
      </c>
      <c r="D80" s="90">
        <v>52794082</v>
      </c>
      <c r="E80" s="90" t="s">
        <v>108</v>
      </c>
      <c r="F80" s="92">
        <v>5.6712962962962958E-3</v>
      </c>
      <c r="G80" s="93">
        <v>44645.366666666669</v>
      </c>
      <c r="H80" s="93">
        <v>44645.372916666667</v>
      </c>
      <c r="I80" s="93">
        <v>44645.365972222222</v>
      </c>
    </row>
    <row r="81" spans="1:9" x14ac:dyDescent="0.25">
      <c r="A81" s="69">
        <v>47</v>
      </c>
      <c r="B81" s="95" t="s">
        <v>154</v>
      </c>
      <c r="C81" s="90">
        <v>52794310</v>
      </c>
      <c r="D81" s="90">
        <v>52794082</v>
      </c>
      <c r="E81" s="90" t="s">
        <v>108</v>
      </c>
      <c r="F81" s="92">
        <v>9.2592592592592588E-5</v>
      </c>
      <c r="G81" s="93">
        <v>44645.366666666669</v>
      </c>
      <c r="H81" s="93">
        <v>44645.366666666669</v>
      </c>
      <c r="I81" s="93">
        <v>44645.365972222222</v>
      </c>
    </row>
    <row r="82" spans="1:9" x14ac:dyDescent="0.25">
      <c r="A82" s="70">
        <v>48</v>
      </c>
      <c r="B82" s="95" t="s">
        <v>155</v>
      </c>
      <c r="C82" s="90">
        <v>52794309</v>
      </c>
      <c r="D82" s="90">
        <v>52794082</v>
      </c>
      <c r="E82" s="90" t="s">
        <v>108</v>
      </c>
      <c r="F82" s="92">
        <v>3.5879629629629635E-4</v>
      </c>
      <c r="G82" s="93">
        <v>44645.366666666669</v>
      </c>
      <c r="H82" s="93">
        <v>44645.366666666669</v>
      </c>
      <c r="I82" s="93">
        <v>44645.365972222222</v>
      </c>
    </row>
    <row r="83" spans="1:9" x14ac:dyDescent="0.25">
      <c r="A83" s="69">
        <v>49</v>
      </c>
      <c r="B83" s="95" t="s">
        <v>156</v>
      </c>
      <c r="C83" s="90">
        <v>52794308</v>
      </c>
      <c r="D83" s="90">
        <v>52794082</v>
      </c>
      <c r="E83" s="90" t="s">
        <v>108</v>
      </c>
      <c r="F83" s="92">
        <v>1.0416666666666667E-4</v>
      </c>
      <c r="G83" s="93">
        <v>44645.366666666669</v>
      </c>
      <c r="H83" s="93">
        <v>44645.366666666669</v>
      </c>
      <c r="I83" s="93">
        <v>44645.365972222222</v>
      </c>
    </row>
    <row r="84" spans="1:9" x14ac:dyDescent="0.25">
      <c r="A84" s="70">
        <v>50</v>
      </c>
      <c r="B84" s="95" t="s">
        <v>157</v>
      </c>
      <c r="C84" s="90">
        <v>52794307</v>
      </c>
      <c r="D84" s="90">
        <v>52794082</v>
      </c>
      <c r="E84" s="90" t="s">
        <v>108</v>
      </c>
      <c r="F84" s="92">
        <v>1.1574074074074073E-4</v>
      </c>
      <c r="G84" s="93">
        <v>44645.365972222222</v>
      </c>
      <c r="H84" s="93">
        <v>44645.366666666669</v>
      </c>
      <c r="I84" s="93">
        <v>44645.365972222222</v>
      </c>
    </row>
    <row r="85" spans="1:9" x14ac:dyDescent="0.25">
      <c r="A85" s="69">
        <v>51</v>
      </c>
      <c r="B85" s="95" t="s">
        <v>129</v>
      </c>
      <c r="C85" s="90">
        <v>52794306</v>
      </c>
      <c r="D85" s="90">
        <v>52794082</v>
      </c>
      <c r="E85" s="90" t="s">
        <v>108</v>
      </c>
      <c r="F85" s="92">
        <v>1.1574074074074073E-5</v>
      </c>
      <c r="G85" s="93">
        <v>44645.365972222222</v>
      </c>
      <c r="H85" s="93">
        <v>44645.365972222222</v>
      </c>
      <c r="I85" s="93">
        <v>44645.365972222222</v>
      </c>
    </row>
    <row r="86" spans="1:9" x14ac:dyDescent="0.25">
      <c r="A86" s="70">
        <v>52</v>
      </c>
      <c r="B86" s="94" t="s">
        <v>157</v>
      </c>
      <c r="C86" s="90">
        <v>52794081</v>
      </c>
      <c r="D86" s="90">
        <v>52792774</v>
      </c>
      <c r="E86" s="90" t="s">
        <v>108</v>
      </c>
      <c r="F86" s="92">
        <v>1.4768518518518519E-2</v>
      </c>
      <c r="G86" s="93">
        <v>44645.351388888892</v>
      </c>
      <c r="H86" s="93">
        <v>44645.365972222222</v>
      </c>
      <c r="I86" s="93">
        <v>44645.333333333336</v>
      </c>
    </row>
    <row r="87" spans="1:9" x14ac:dyDescent="0.25">
      <c r="A87" s="69">
        <v>53</v>
      </c>
      <c r="B87" s="94" t="s">
        <v>158</v>
      </c>
      <c r="C87" s="90">
        <v>52794080</v>
      </c>
      <c r="D87" s="90">
        <v>52792774</v>
      </c>
      <c r="E87" s="90" t="s">
        <v>108</v>
      </c>
      <c r="F87" s="92">
        <v>9.7453703703703713E-3</v>
      </c>
      <c r="G87" s="93">
        <v>44645.341666666667</v>
      </c>
      <c r="H87" s="93">
        <v>44645.351388888892</v>
      </c>
      <c r="I87" s="93">
        <v>44645.333333333336</v>
      </c>
    </row>
    <row r="88" spans="1:9" x14ac:dyDescent="0.25">
      <c r="A88" s="70">
        <v>54</v>
      </c>
      <c r="B88" s="94" t="s">
        <v>159</v>
      </c>
      <c r="C88" s="90">
        <v>52794079</v>
      </c>
      <c r="D88" s="90">
        <v>52792774</v>
      </c>
      <c r="E88" s="90" t="s">
        <v>108</v>
      </c>
      <c r="F88" s="92">
        <v>4.3981481481481481E-4</v>
      </c>
      <c r="G88" s="93">
        <v>44645.34097222222</v>
      </c>
      <c r="H88" s="93">
        <v>44645.341666666667</v>
      </c>
      <c r="I88" s="93">
        <v>44645.333333333336</v>
      </c>
    </row>
    <row r="89" spans="1:9" x14ac:dyDescent="0.25">
      <c r="A89" s="69">
        <v>55</v>
      </c>
      <c r="B89" s="94" t="s">
        <v>160</v>
      </c>
      <c r="C89" s="90">
        <v>52794078</v>
      </c>
      <c r="D89" s="90">
        <v>52792774</v>
      </c>
      <c r="E89" s="90" t="s">
        <v>108</v>
      </c>
      <c r="F89" s="92">
        <v>7.0486111111111105E-3</v>
      </c>
      <c r="G89" s="93">
        <v>44645.334027777775</v>
      </c>
      <c r="H89" s="93">
        <v>44645.34097222222</v>
      </c>
      <c r="I89" s="93">
        <v>44645.333333333336</v>
      </c>
    </row>
    <row r="90" spans="1:9" x14ac:dyDescent="0.25">
      <c r="A90" s="70">
        <v>56</v>
      </c>
      <c r="B90" s="94" t="s">
        <v>161</v>
      </c>
      <c r="C90" s="90">
        <v>52794077</v>
      </c>
      <c r="D90" s="90">
        <v>52792774</v>
      </c>
      <c r="E90" s="90" t="s">
        <v>108</v>
      </c>
      <c r="F90" s="92">
        <v>5.2083333333333333E-4</v>
      </c>
      <c r="G90" s="93">
        <v>44645.334027777775</v>
      </c>
      <c r="H90" s="93">
        <v>44645.334027777775</v>
      </c>
      <c r="I90" s="93">
        <v>44645.333333333336</v>
      </c>
    </row>
    <row r="91" spans="1:9" x14ac:dyDescent="0.25">
      <c r="A91" s="69">
        <v>57</v>
      </c>
      <c r="B91" s="94" t="s">
        <v>129</v>
      </c>
      <c r="C91" s="90">
        <v>52794076</v>
      </c>
      <c r="D91" s="90">
        <v>52792774</v>
      </c>
      <c r="E91" s="90" t="s">
        <v>108</v>
      </c>
      <c r="F91" s="92">
        <v>1.1574074074074073E-5</v>
      </c>
      <c r="G91" s="93">
        <v>44645.334027777775</v>
      </c>
      <c r="H91" s="93">
        <v>44645.334027777775</v>
      </c>
      <c r="I91" s="93">
        <v>44645.333333333336</v>
      </c>
    </row>
    <row r="92" spans="1:9" x14ac:dyDescent="0.25">
      <c r="A92" s="70">
        <v>58</v>
      </c>
      <c r="B92" s="89" t="s">
        <v>70</v>
      </c>
      <c r="C92" s="90">
        <v>52791737</v>
      </c>
      <c r="D92" s="90">
        <v>52794056</v>
      </c>
      <c r="E92" s="90" t="s">
        <v>108</v>
      </c>
      <c r="F92" s="92">
        <v>5.6365740740740742E-3</v>
      </c>
      <c r="G92" s="93">
        <v>44645.393750000003</v>
      </c>
      <c r="H92" s="93">
        <v>44645.399305555555</v>
      </c>
      <c r="I92" s="93">
        <v>44645.333333333336</v>
      </c>
    </row>
    <row r="93" spans="1:9" x14ac:dyDescent="0.25">
      <c r="A93" s="69">
        <v>59</v>
      </c>
      <c r="B93" s="89" t="s">
        <v>162</v>
      </c>
      <c r="C93" s="90">
        <v>52791736</v>
      </c>
      <c r="D93" s="90">
        <v>52794056</v>
      </c>
      <c r="E93" s="90" t="s">
        <v>108</v>
      </c>
      <c r="F93" s="92">
        <v>3.4722222222222224E-4</v>
      </c>
      <c r="G93" s="93">
        <v>44645.393055555556</v>
      </c>
      <c r="H93" s="93">
        <v>44645.393750000003</v>
      </c>
      <c r="I93" s="93">
        <v>44645.333333333336</v>
      </c>
    </row>
    <row r="94" spans="1:9" x14ac:dyDescent="0.25">
      <c r="A94" s="70">
        <v>60</v>
      </c>
      <c r="B94" s="89" t="s">
        <v>163</v>
      </c>
      <c r="C94" s="90">
        <v>52791735</v>
      </c>
      <c r="D94" s="90">
        <v>52794056</v>
      </c>
      <c r="E94" s="90" t="s">
        <v>108</v>
      </c>
      <c r="F94" s="92">
        <v>1.1574074074074073E-5</v>
      </c>
      <c r="G94" s="93">
        <v>44645.393055555556</v>
      </c>
      <c r="H94" s="93">
        <v>44645.393055555556</v>
      </c>
      <c r="I94" s="93">
        <v>44645.333333333336</v>
      </c>
    </row>
    <row r="95" spans="1:9" x14ac:dyDescent="0.25">
      <c r="A95" s="69">
        <v>61</v>
      </c>
      <c r="B95" s="89" t="s">
        <v>164</v>
      </c>
      <c r="C95" s="90">
        <v>52791734</v>
      </c>
      <c r="D95" s="90">
        <v>52794056</v>
      </c>
      <c r="E95" s="90" t="s">
        <v>108</v>
      </c>
      <c r="F95" s="92">
        <v>3.2638888888888891E-3</v>
      </c>
      <c r="G95" s="93">
        <v>44645.390277777777</v>
      </c>
      <c r="H95" s="93">
        <v>44645.393055555556</v>
      </c>
      <c r="I95" s="93">
        <v>44645.333333333336</v>
      </c>
    </row>
    <row r="96" spans="1:9" x14ac:dyDescent="0.25">
      <c r="A96" s="70">
        <v>62</v>
      </c>
      <c r="B96" s="89" t="s">
        <v>165</v>
      </c>
      <c r="C96" s="90">
        <v>52791733</v>
      </c>
      <c r="D96" s="90">
        <v>52794056</v>
      </c>
      <c r="E96" s="90" t="s">
        <v>108</v>
      </c>
      <c r="F96" s="92">
        <v>4.6296296296296293E-4</v>
      </c>
      <c r="G96" s="93">
        <v>44645.38958333333</v>
      </c>
      <c r="H96" s="93">
        <v>44645.390277777777</v>
      </c>
      <c r="I96" s="93">
        <v>44645.333333333336</v>
      </c>
    </row>
    <row r="97" spans="1:9" x14ac:dyDescent="0.25">
      <c r="A97" s="69">
        <v>63</v>
      </c>
      <c r="B97" s="89" t="s">
        <v>166</v>
      </c>
      <c r="C97" s="90">
        <v>52791732</v>
      </c>
      <c r="D97" s="90">
        <v>52794056</v>
      </c>
      <c r="E97" s="90" t="s">
        <v>108</v>
      </c>
      <c r="F97" s="92">
        <v>2.199074074074074E-4</v>
      </c>
      <c r="G97" s="93">
        <v>44645.388194444444</v>
      </c>
      <c r="H97" s="93">
        <v>44645.388194444444</v>
      </c>
      <c r="I97" s="93">
        <v>44645.333333333336</v>
      </c>
    </row>
    <row r="98" spans="1:9" x14ac:dyDescent="0.25">
      <c r="A98" s="70">
        <v>64</v>
      </c>
      <c r="B98" s="89" t="s">
        <v>167</v>
      </c>
      <c r="C98" s="90">
        <v>52794085</v>
      </c>
      <c r="D98" s="90">
        <v>52794056</v>
      </c>
      <c r="E98" s="90" t="s">
        <v>108</v>
      </c>
      <c r="F98" s="92">
        <v>1.5509259259259261E-3</v>
      </c>
      <c r="G98" s="93">
        <v>44645.388194444444</v>
      </c>
      <c r="H98" s="93">
        <v>44645.38958333333</v>
      </c>
      <c r="I98" s="93">
        <v>44645.333333333336</v>
      </c>
    </row>
    <row r="99" spans="1:9" x14ac:dyDescent="0.25">
      <c r="A99" s="69">
        <v>65</v>
      </c>
      <c r="B99" s="89" t="s">
        <v>168</v>
      </c>
      <c r="C99" s="90">
        <v>52794084</v>
      </c>
      <c r="D99" s="90">
        <v>52794056</v>
      </c>
      <c r="E99" s="90" t="s">
        <v>108</v>
      </c>
      <c r="F99" s="92">
        <v>3.4722222222222224E-4</v>
      </c>
      <c r="G99" s="93">
        <v>44645.387499999997</v>
      </c>
      <c r="H99" s="93">
        <v>44645.388194444444</v>
      </c>
      <c r="I99" s="93">
        <v>44645.333333333336</v>
      </c>
    </row>
    <row r="100" spans="1:9" x14ac:dyDescent="0.25">
      <c r="A100" s="70">
        <v>66</v>
      </c>
      <c r="B100" s="89" t="s">
        <v>71</v>
      </c>
      <c r="C100" s="90">
        <v>52791760</v>
      </c>
      <c r="D100" s="90">
        <v>52794056</v>
      </c>
      <c r="E100" s="90" t="s">
        <v>108</v>
      </c>
      <c r="F100" s="92">
        <v>1.7430555555555557E-2</v>
      </c>
      <c r="G100" s="93">
        <v>44645.393750000003</v>
      </c>
      <c r="H100" s="93">
        <v>44645.411111111112</v>
      </c>
      <c r="I100" s="93">
        <v>44645.333333333336</v>
      </c>
    </row>
    <row r="101" spans="1:9" x14ac:dyDescent="0.25">
      <c r="A101" s="69">
        <v>67</v>
      </c>
      <c r="B101" s="89" t="s">
        <v>169</v>
      </c>
      <c r="C101" s="90">
        <v>52793181</v>
      </c>
      <c r="D101" s="90">
        <v>52794056</v>
      </c>
      <c r="E101" s="90" t="s">
        <v>170</v>
      </c>
      <c r="F101" s="92">
        <v>0</v>
      </c>
      <c r="G101" s="91"/>
      <c r="H101" s="93">
        <v>44645.393750000003</v>
      </c>
      <c r="I101" s="93">
        <v>44645.333333333336</v>
      </c>
    </row>
    <row r="102" spans="1:9" x14ac:dyDescent="0.25">
      <c r="A102" s="70">
        <v>68</v>
      </c>
      <c r="B102" s="89" t="s">
        <v>171</v>
      </c>
      <c r="C102" s="90">
        <v>52793182</v>
      </c>
      <c r="D102" s="90">
        <v>52794056</v>
      </c>
      <c r="E102" s="90" t="s">
        <v>108</v>
      </c>
      <c r="F102" s="92">
        <v>9.4710648148148155E-2</v>
      </c>
      <c r="G102" s="93">
        <v>44645.393750000003</v>
      </c>
      <c r="H102" s="93">
        <v>44645.488194444442</v>
      </c>
      <c r="I102" s="93">
        <v>44645.333333333336</v>
      </c>
    </row>
    <row r="103" spans="1:9" x14ac:dyDescent="0.25">
      <c r="A103" s="69">
        <v>69</v>
      </c>
      <c r="B103" s="89" t="s">
        <v>72</v>
      </c>
      <c r="C103" s="90">
        <v>52792845</v>
      </c>
      <c r="D103" s="90">
        <v>52794056</v>
      </c>
      <c r="E103" s="90" t="s">
        <v>108</v>
      </c>
      <c r="F103" s="92">
        <v>2.8645833333333332E-2</v>
      </c>
      <c r="G103" s="93">
        <v>44645.393750000003</v>
      </c>
      <c r="H103" s="93">
        <v>44645.422222222223</v>
      </c>
      <c r="I103" s="93">
        <v>44645.333333333336</v>
      </c>
    </row>
    <row r="104" spans="1:9" x14ac:dyDescent="0.25">
      <c r="A104" s="70">
        <v>70</v>
      </c>
      <c r="B104" s="89" t="s">
        <v>173</v>
      </c>
      <c r="C104" s="90">
        <v>52792857</v>
      </c>
      <c r="D104" s="90">
        <v>52794056</v>
      </c>
      <c r="E104" s="90" t="s">
        <v>108</v>
      </c>
      <c r="F104" s="92">
        <v>3.8425925925925923E-3</v>
      </c>
      <c r="G104" s="93">
        <v>44645.411111111112</v>
      </c>
      <c r="H104" s="93">
        <v>44645.414583333331</v>
      </c>
      <c r="I104" s="93">
        <v>44645.333333333336</v>
      </c>
    </row>
    <row r="105" spans="1:9" x14ac:dyDescent="0.25">
      <c r="A105" s="69">
        <v>71</v>
      </c>
      <c r="B105" s="89" t="s">
        <v>172</v>
      </c>
      <c r="C105" s="90">
        <v>52792853</v>
      </c>
      <c r="D105" s="90">
        <v>52794056</v>
      </c>
      <c r="E105" s="90" t="s">
        <v>108</v>
      </c>
      <c r="F105" s="92">
        <v>3.4722222222222222E-5</v>
      </c>
      <c r="G105" s="93">
        <v>44645.411111111112</v>
      </c>
      <c r="H105" s="93">
        <v>44645.411111111112</v>
      </c>
      <c r="I105" s="93">
        <v>44645.333333333336</v>
      </c>
    </row>
    <row r="106" spans="1:9" x14ac:dyDescent="0.25">
      <c r="A106" s="70">
        <v>72</v>
      </c>
      <c r="B106" s="89" t="s">
        <v>75</v>
      </c>
      <c r="C106" s="90">
        <v>52794119</v>
      </c>
      <c r="D106" s="90">
        <v>52794056</v>
      </c>
      <c r="E106" s="90" t="s">
        <v>108</v>
      </c>
      <c r="F106" s="92">
        <v>6.0787037037037035E-2</v>
      </c>
      <c r="G106" s="93">
        <v>44645.399305555555</v>
      </c>
      <c r="H106" s="93">
        <v>44645.459722222222</v>
      </c>
      <c r="I106" s="93">
        <v>44645.333333333336</v>
      </c>
    </row>
    <row r="107" spans="1:9" x14ac:dyDescent="0.25">
      <c r="A107" s="69">
        <v>73</v>
      </c>
      <c r="B107" s="94" t="s">
        <v>175</v>
      </c>
      <c r="C107" s="90">
        <v>52792867</v>
      </c>
      <c r="D107" s="90">
        <v>52794119</v>
      </c>
      <c r="E107" s="90" t="s">
        <v>108</v>
      </c>
      <c r="F107" s="92">
        <v>1.689814814814815E-3</v>
      </c>
      <c r="G107" s="93">
        <v>44645.399305555555</v>
      </c>
      <c r="H107" s="93">
        <v>44645.400694444441</v>
      </c>
      <c r="I107" s="93">
        <v>44645.333333333336</v>
      </c>
    </row>
    <row r="108" spans="1:9" x14ac:dyDescent="0.25">
      <c r="A108" s="70">
        <v>74</v>
      </c>
      <c r="B108" s="94" t="s">
        <v>174</v>
      </c>
      <c r="C108" s="90">
        <v>52789776</v>
      </c>
      <c r="D108" s="90">
        <v>52794119</v>
      </c>
      <c r="E108" s="90" t="s">
        <v>108</v>
      </c>
      <c r="F108" s="92">
        <v>0</v>
      </c>
      <c r="G108" s="93">
        <v>44645.399305555555</v>
      </c>
      <c r="H108" s="93">
        <v>44645.399305555555</v>
      </c>
      <c r="I108" s="93">
        <v>44645.333333333336</v>
      </c>
    </row>
    <row r="109" spans="1:9" x14ac:dyDescent="0.25">
      <c r="A109" s="69">
        <v>75</v>
      </c>
      <c r="B109" s="94" t="s">
        <v>176</v>
      </c>
      <c r="C109" s="90">
        <v>52794120</v>
      </c>
      <c r="D109" s="90">
        <v>52794119</v>
      </c>
      <c r="E109" s="90" t="s">
        <v>108</v>
      </c>
      <c r="F109" s="92">
        <v>6.0787037037037035E-2</v>
      </c>
      <c r="G109" s="93">
        <v>44645.399305555555</v>
      </c>
      <c r="H109" s="93">
        <v>44645.459722222222</v>
      </c>
      <c r="I109" s="93">
        <v>44645.333333333336</v>
      </c>
    </row>
    <row r="110" spans="1:9" x14ac:dyDescent="0.25">
      <c r="A110" s="70">
        <v>76</v>
      </c>
      <c r="B110" s="95" t="s">
        <v>129</v>
      </c>
      <c r="C110" s="90">
        <v>52789775</v>
      </c>
      <c r="D110" s="90">
        <v>52794120</v>
      </c>
      <c r="E110" s="90" t="s">
        <v>108</v>
      </c>
      <c r="F110" s="92">
        <v>1.1574074074074073E-5</v>
      </c>
      <c r="G110" s="93">
        <v>44645.459722222222</v>
      </c>
      <c r="H110" s="93">
        <v>44645.459722222222</v>
      </c>
      <c r="I110" s="93">
        <v>44645.333333333336</v>
      </c>
    </row>
    <row r="111" spans="1:9" x14ac:dyDescent="0.25">
      <c r="A111" s="69">
        <v>77</v>
      </c>
      <c r="B111" s="95" t="s">
        <v>189</v>
      </c>
      <c r="C111" s="90">
        <v>52789762</v>
      </c>
      <c r="D111" s="90">
        <v>52794120</v>
      </c>
      <c r="E111" s="90" t="s">
        <v>111</v>
      </c>
      <c r="F111" s="92">
        <v>0</v>
      </c>
      <c r="G111" s="91"/>
      <c r="H111" s="93">
        <v>44645.333333333336</v>
      </c>
      <c r="I111" s="93">
        <v>44645.333333333336</v>
      </c>
    </row>
    <row r="112" spans="1:9" x14ac:dyDescent="0.25">
      <c r="A112" s="70">
        <v>78</v>
      </c>
      <c r="B112" s="95" t="s">
        <v>186</v>
      </c>
      <c r="C112" s="90">
        <v>52789764</v>
      </c>
      <c r="D112" s="90">
        <v>52794120</v>
      </c>
      <c r="E112" s="90" t="s">
        <v>187</v>
      </c>
      <c r="F112" s="92">
        <v>0</v>
      </c>
      <c r="G112" s="91"/>
      <c r="H112" s="93">
        <v>44645.444444444445</v>
      </c>
      <c r="I112" s="93">
        <v>44645.333333333336</v>
      </c>
    </row>
    <row r="113" spans="1:9" x14ac:dyDescent="0.25">
      <c r="A113" s="69">
        <v>79</v>
      </c>
      <c r="B113" s="95" t="s">
        <v>188</v>
      </c>
      <c r="C113" s="90">
        <v>52789763</v>
      </c>
      <c r="D113" s="90">
        <v>52794120</v>
      </c>
      <c r="E113" s="90" t="s">
        <v>111</v>
      </c>
      <c r="F113" s="92">
        <v>0</v>
      </c>
      <c r="G113" s="91"/>
      <c r="H113" s="93">
        <v>44645.333333333336</v>
      </c>
      <c r="I113" s="93">
        <v>44645.333333333336</v>
      </c>
    </row>
    <row r="114" spans="1:9" x14ac:dyDescent="0.25">
      <c r="A114" s="70">
        <v>80</v>
      </c>
      <c r="B114" s="95" t="s">
        <v>185</v>
      </c>
      <c r="C114" s="90">
        <v>52789765</v>
      </c>
      <c r="D114" s="90">
        <v>52794120</v>
      </c>
      <c r="E114" s="90" t="s">
        <v>111</v>
      </c>
      <c r="F114" s="92">
        <v>0</v>
      </c>
      <c r="G114" s="91"/>
      <c r="H114" s="93">
        <v>44645.333333333336</v>
      </c>
      <c r="I114" s="93">
        <v>44645.333333333336</v>
      </c>
    </row>
    <row r="115" spans="1:9" x14ac:dyDescent="0.25">
      <c r="A115" s="69">
        <v>81</v>
      </c>
      <c r="B115" s="95" t="s">
        <v>181</v>
      </c>
      <c r="C115" s="90">
        <v>52789757</v>
      </c>
      <c r="D115" s="90">
        <v>52794120</v>
      </c>
      <c r="E115" s="90" t="s">
        <v>111</v>
      </c>
      <c r="F115" s="92">
        <v>0</v>
      </c>
      <c r="G115" s="91"/>
      <c r="H115" s="93">
        <v>44645.333333333336</v>
      </c>
      <c r="I115" s="93">
        <v>44645.333333333336</v>
      </c>
    </row>
    <row r="116" spans="1:9" x14ac:dyDescent="0.25">
      <c r="A116" s="70">
        <v>82</v>
      </c>
      <c r="B116" s="95" t="s">
        <v>184</v>
      </c>
      <c r="C116" s="90">
        <v>52789766</v>
      </c>
      <c r="D116" s="90">
        <v>52794120</v>
      </c>
      <c r="E116" s="90" t="s">
        <v>111</v>
      </c>
      <c r="F116" s="92">
        <v>0</v>
      </c>
      <c r="G116" s="91"/>
      <c r="H116" s="93">
        <v>44645.333333333336</v>
      </c>
      <c r="I116" s="93">
        <v>44645.333333333336</v>
      </c>
    </row>
    <row r="117" spans="1:9" x14ac:dyDescent="0.25">
      <c r="A117" s="69">
        <v>83</v>
      </c>
      <c r="B117" s="95" t="s">
        <v>183</v>
      </c>
      <c r="C117" s="90">
        <v>52789767</v>
      </c>
      <c r="D117" s="90">
        <v>52794120</v>
      </c>
      <c r="E117" s="90" t="s">
        <v>111</v>
      </c>
      <c r="F117" s="92">
        <v>0</v>
      </c>
      <c r="G117" s="91"/>
      <c r="H117" s="93">
        <v>44645.333333333336</v>
      </c>
      <c r="I117" s="93">
        <v>44645.333333333336</v>
      </c>
    </row>
    <row r="118" spans="1:9" x14ac:dyDescent="0.25">
      <c r="A118" s="70">
        <v>84</v>
      </c>
      <c r="B118" s="95" t="s">
        <v>182</v>
      </c>
      <c r="C118" s="90">
        <v>52789768</v>
      </c>
      <c r="D118" s="90">
        <v>52794120</v>
      </c>
      <c r="E118" s="90" t="s">
        <v>111</v>
      </c>
      <c r="F118" s="92">
        <v>0</v>
      </c>
      <c r="G118" s="91"/>
      <c r="H118" s="93">
        <v>44645.333333333336</v>
      </c>
      <c r="I118" s="93">
        <v>44645.333333333336</v>
      </c>
    </row>
    <row r="119" spans="1:9" x14ac:dyDescent="0.25">
      <c r="A119" s="69">
        <v>85</v>
      </c>
      <c r="B119" s="95" t="s">
        <v>190</v>
      </c>
      <c r="C119" s="90">
        <v>52794135</v>
      </c>
      <c r="D119" s="90">
        <v>52794120</v>
      </c>
      <c r="E119" s="90" t="s">
        <v>111</v>
      </c>
      <c r="F119" s="92">
        <v>0</v>
      </c>
      <c r="G119" s="91"/>
      <c r="H119" s="93">
        <v>44645.333333333336</v>
      </c>
      <c r="I119" s="93">
        <v>44645.333333333336</v>
      </c>
    </row>
    <row r="120" spans="1:9" x14ac:dyDescent="0.25">
      <c r="A120" s="70">
        <v>86</v>
      </c>
      <c r="B120" s="95" t="s">
        <v>76</v>
      </c>
      <c r="C120" s="90">
        <v>52789773</v>
      </c>
      <c r="D120" s="90">
        <v>52794120</v>
      </c>
      <c r="E120" s="90" t="s">
        <v>108</v>
      </c>
      <c r="F120" s="92">
        <v>7.407407407407407E-4</v>
      </c>
      <c r="G120" s="93">
        <v>44645.459027777775</v>
      </c>
      <c r="H120" s="93">
        <v>44645.459722222222</v>
      </c>
      <c r="I120" s="93">
        <v>44645.333333333336</v>
      </c>
    </row>
    <row r="121" spans="1:9" x14ac:dyDescent="0.25">
      <c r="A121" s="69">
        <v>87</v>
      </c>
      <c r="B121" s="95" t="s">
        <v>177</v>
      </c>
      <c r="C121" s="90">
        <v>52789772</v>
      </c>
      <c r="D121" s="90">
        <v>52794120</v>
      </c>
      <c r="E121" s="90" t="s">
        <v>108</v>
      </c>
      <c r="F121" s="92">
        <v>3.4722222222222224E-4</v>
      </c>
      <c r="G121" s="93">
        <v>44645.459027777775</v>
      </c>
      <c r="H121" s="93">
        <v>44645.459027777775</v>
      </c>
      <c r="I121" s="93">
        <v>44645.333333333336</v>
      </c>
    </row>
    <row r="122" spans="1:9" x14ac:dyDescent="0.25">
      <c r="A122" s="70">
        <v>88</v>
      </c>
      <c r="B122" s="95" t="s">
        <v>179</v>
      </c>
      <c r="C122" s="90">
        <v>52789770</v>
      </c>
      <c r="D122" s="90">
        <v>52794120</v>
      </c>
      <c r="E122" s="90" t="s">
        <v>108</v>
      </c>
      <c r="F122" s="92">
        <v>3.4722222222222224E-4</v>
      </c>
      <c r="G122" s="93">
        <v>44645.449305555558</v>
      </c>
      <c r="H122" s="93">
        <v>44645.45</v>
      </c>
      <c r="I122" s="93">
        <v>44645.333333333336</v>
      </c>
    </row>
    <row r="123" spans="1:9" x14ac:dyDescent="0.25">
      <c r="A123" s="69">
        <v>89</v>
      </c>
      <c r="B123" s="95" t="s">
        <v>178</v>
      </c>
      <c r="C123" s="90">
        <v>52789771</v>
      </c>
      <c r="D123" s="90">
        <v>52794120</v>
      </c>
      <c r="E123" s="90" t="s">
        <v>108</v>
      </c>
      <c r="F123" s="92">
        <v>9.3749999999999997E-3</v>
      </c>
      <c r="G123" s="93">
        <v>44645.449305555558</v>
      </c>
      <c r="H123" s="93">
        <v>44645.459027777775</v>
      </c>
      <c r="I123" s="93">
        <v>44645.333333333336</v>
      </c>
    </row>
    <row r="124" spans="1:9" x14ac:dyDescent="0.25">
      <c r="A124" s="70">
        <v>90</v>
      </c>
      <c r="B124" s="95" t="s">
        <v>191</v>
      </c>
      <c r="C124" s="90">
        <v>52789769</v>
      </c>
      <c r="D124" s="90">
        <v>52794120</v>
      </c>
      <c r="E124" s="90" t="s">
        <v>108</v>
      </c>
      <c r="F124" s="92">
        <v>4.8611111111111112E-3</v>
      </c>
      <c r="G124" s="93">
        <v>44645.444444444445</v>
      </c>
      <c r="H124" s="93">
        <v>44645.449305555558</v>
      </c>
      <c r="I124" s="93">
        <v>44645.333333333336</v>
      </c>
    </row>
    <row r="125" spans="1:9" x14ac:dyDescent="0.25">
      <c r="A125" s="69">
        <v>91</v>
      </c>
      <c r="B125" s="95" t="s">
        <v>180</v>
      </c>
      <c r="C125" s="90">
        <v>52789774</v>
      </c>
      <c r="D125" s="90">
        <v>52794120</v>
      </c>
      <c r="E125" s="90" t="s">
        <v>108</v>
      </c>
      <c r="F125" s="92">
        <v>1.3888888888888889E-3</v>
      </c>
      <c r="G125" s="93">
        <v>44645.444444444445</v>
      </c>
      <c r="H125" s="93">
        <v>44645.445833333331</v>
      </c>
      <c r="I125" s="93">
        <v>44645.333333333336</v>
      </c>
    </row>
    <row r="126" spans="1:9" x14ac:dyDescent="0.25">
      <c r="A126" s="70">
        <v>92</v>
      </c>
      <c r="B126" s="95" t="s">
        <v>192</v>
      </c>
      <c r="C126" s="90">
        <v>52789759</v>
      </c>
      <c r="D126" s="90">
        <v>52794120</v>
      </c>
      <c r="E126" s="90" t="s">
        <v>108</v>
      </c>
      <c r="F126" s="92">
        <v>4.5254629629629629E-3</v>
      </c>
      <c r="G126" s="93">
        <v>44645.44027777778</v>
      </c>
      <c r="H126" s="93">
        <v>44645.444444444445</v>
      </c>
      <c r="I126" s="93">
        <v>44645.333333333336</v>
      </c>
    </row>
    <row r="127" spans="1:9" x14ac:dyDescent="0.25">
      <c r="A127" s="69">
        <v>93</v>
      </c>
      <c r="B127" s="95" t="s">
        <v>193</v>
      </c>
      <c r="C127" s="90">
        <v>52789758</v>
      </c>
      <c r="D127" s="90">
        <v>52794120</v>
      </c>
      <c r="E127" s="90" t="s">
        <v>108</v>
      </c>
      <c r="F127" s="92">
        <v>1.0532407407407407E-3</v>
      </c>
      <c r="G127" s="93">
        <v>44645.438888888886</v>
      </c>
      <c r="H127" s="93">
        <v>44645.44027777778</v>
      </c>
      <c r="I127" s="93">
        <v>44645.333333333336</v>
      </c>
    </row>
    <row r="128" spans="1:9" x14ac:dyDescent="0.25">
      <c r="A128" s="70">
        <v>94</v>
      </c>
      <c r="B128" s="95" t="s">
        <v>194</v>
      </c>
      <c r="C128" s="90">
        <v>52789756</v>
      </c>
      <c r="D128" s="90">
        <v>52794120</v>
      </c>
      <c r="E128" s="90" t="s">
        <v>108</v>
      </c>
      <c r="F128" s="92">
        <v>8.1018518518518516E-5</v>
      </c>
      <c r="G128" s="93">
        <v>44645.438888888886</v>
      </c>
      <c r="H128" s="93">
        <v>44645.438888888886</v>
      </c>
      <c r="I128" s="93">
        <v>44645.333333333336</v>
      </c>
    </row>
    <row r="129" spans="1:9" x14ac:dyDescent="0.25">
      <c r="A129" s="69">
        <v>95</v>
      </c>
      <c r="B129" s="95" t="s">
        <v>195</v>
      </c>
      <c r="C129" s="90">
        <v>52789755</v>
      </c>
      <c r="D129" s="90">
        <v>52794120</v>
      </c>
      <c r="E129" s="90" t="s">
        <v>108</v>
      </c>
      <c r="F129" s="92">
        <v>7.0601851851851847E-4</v>
      </c>
      <c r="G129" s="93">
        <v>44645.438194444447</v>
      </c>
      <c r="H129" s="93">
        <v>44645.438888888886</v>
      </c>
      <c r="I129" s="93">
        <v>44645.333333333336</v>
      </c>
    </row>
    <row r="130" spans="1:9" x14ac:dyDescent="0.25">
      <c r="A130" s="70">
        <v>96</v>
      </c>
      <c r="B130" s="95" t="s">
        <v>196</v>
      </c>
      <c r="C130" s="90">
        <v>52789754</v>
      </c>
      <c r="D130" s="90">
        <v>52794120</v>
      </c>
      <c r="E130" s="90" t="s">
        <v>108</v>
      </c>
      <c r="F130" s="92">
        <v>1.9108796296296294E-2</v>
      </c>
      <c r="G130" s="93">
        <v>44645.419444444444</v>
      </c>
      <c r="H130" s="93">
        <v>44645.438194444447</v>
      </c>
      <c r="I130" s="93">
        <v>44645.333333333336</v>
      </c>
    </row>
    <row r="131" spans="1:9" x14ac:dyDescent="0.25">
      <c r="A131" s="69">
        <v>97</v>
      </c>
      <c r="B131" s="95" t="s">
        <v>202</v>
      </c>
      <c r="C131" s="90">
        <v>52794128</v>
      </c>
      <c r="D131" s="90">
        <v>52794120</v>
      </c>
      <c r="E131" s="90" t="s">
        <v>111</v>
      </c>
      <c r="F131" s="92">
        <v>0</v>
      </c>
      <c r="G131" s="91"/>
      <c r="H131" s="93">
        <v>44645.333333333336</v>
      </c>
      <c r="I131" s="93">
        <v>44645.333333333336</v>
      </c>
    </row>
    <row r="132" spans="1:9" x14ac:dyDescent="0.25">
      <c r="A132" s="70">
        <v>98</v>
      </c>
      <c r="B132" s="95" t="s">
        <v>197</v>
      </c>
      <c r="C132" s="90">
        <v>52794134</v>
      </c>
      <c r="D132" s="90">
        <v>52794120</v>
      </c>
      <c r="E132" s="90" t="s">
        <v>108</v>
      </c>
      <c r="F132" s="92">
        <v>6.9444444444444447E-4</v>
      </c>
      <c r="G132" s="93">
        <v>44645.418749999997</v>
      </c>
      <c r="H132" s="93">
        <v>44645.419444444444</v>
      </c>
      <c r="I132" s="93">
        <v>44645.333333333336</v>
      </c>
    </row>
    <row r="133" spans="1:9" x14ac:dyDescent="0.25">
      <c r="A133" s="69">
        <v>99</v>
      </c>
      <c r="B133" s="95" t="s">
        <v>198</v>
      </c>
      <c r="C133" s="90">
        <v>52794133</v>
      </c>
      <c r="D133" s="90">
        <v>52794120</v>
      </c>
      <c r="E133" s="90" t="s">
        <v>108</v>
      </c>
      <c r="F133" s="92">
        <v>1.736111111111111E-3</v>
      </c>
      <c r="G133" s="93">
        <v>44645.416666666664</v>
      </c>
      <c r="H133" s="93">
        <v>44645.418749999997</v>
      </c>
      <c r="I133" s="93">
        <v>44645.333333333336</v>
      </c>
    </row>
    <row r="134" spans="1:9" x14ac:dyDescent="0.25">
      <c r="A134" s="70">
        <v>100</v>
      </c>
      <c r="B134" s="95" t="s">
        <v>199</v>
      </c>
      <c r="C134" s="90">
        <v>52794132</v>
      </c>
      <c r="D134" s="90">
        <v>52794120</v>
      </c>
      <c r="E134" s="90" t="s">
        <v>108</v>
      </c>
      <c r="F134" s="92">
        <v>5.9027777777777776E-3</v>
      </c>
      <c r="G134" s="93">
        <v>44645.411111111112</v>
      </c>
      <c r="H134" s="93">
        <v>44645.416666666664</v>
      </c>
      <c r="I134" s="93">
        <v>44645.333333333336</v>
      </c>
    </row>
    <row r="135" spans="1:9" x14ac:dyDescent="0.25">
      <c r="A135" s="69">
        <v>101</v>
      </c>
      <c r="B135" s="95" t="s">
        <v>200</v>
      </c>
      <c r="C135" s="90">
        <v>52794131</v>
      </c>
      <c r="D135" s="90">
        <v>52794120</v>
      </c>
      <c r="E135" s="90" t="s">
        <v>108</v>
      </c>
      <c r="F135" s="92">
        <v>1.5046296296296297E-4</v>
      </c>
      <c r="G135" s="93">
        <v>44645.410416666666</v>
      </c>
      <c r="H135" s="93">
        <v>44645.411111111112</v>
      </c>
      <c r="I135" s="93">
        <v>44645.333333333336</v>
      </c>
    </row>
    <row r="136" spans="1:9" x14ac:dyDescent="0.25">
      <c r="A136" s="70">
        <v>102</v>
      </c>
      <c r="B136" s="95" t="s">
        <v>201</v>
      </c>
      <c r="C136" s="90">
        <v>52794130</v>
      </c>
      <c r="D136" s="90">
        <v>52794120</v>
      </c>
      <c r="E136" s="90" t="s">
        <v>108</v>
      </c>
      <c r="F136" s="92">
        <v>6.2500000000000001E-4</v>
      </c>
      <c r="G136" s="93">
        <v>44645.409722222219</v>
      </c>
      <c r="H136" s="93">
        <v>44645.410416666666</v>
      </c>
      <c r="I136" s="93">
        <v>44645.333333333336</v>
      </c>
    </row>
    <row r="137" spans="1:9" x14ac:dyDescent="0.25">
      <c r="A137" s="69">
        <v>103</v>
      </c>
      <c r="B137" s="95" t="s">
        <v>203</v>
      </c>
      <c r="C137" s="90">
        <v>52794129</v>
      </c>
      <c r="D137" s="90">
        <v>52794120</v>
      </c>
      <c r="E137" s="90" t="s">
        <v>108</v>
      </c>
      <c r="F137" s="92">
        <v>3.8194444444444443E-3</v>
      </c>
      <c r="G137" s="93">
        <v>44645.40625</v>
      </c>
      <c r="H137" s="93">
        <v>44645.409722222219</v>
      </c>
      <c r="I137" s="93">
        <v>44645.333333333336</v>
      </c>
    </row>
    <row r="138" spans="1:9" x14ac:dyDescent="0.25">
      <c r="A138" s="70">
        <v>104</v>
      </c>
      <c r="B138" s="95" t="s">
        <v>204</v>
      </c>
      <c r="C138" s="90">
        <v>52794127</v>
      </c>
      <c r="D138" s="90">
        <v>52794120</v>
      </c>
      <c r="E138" s="90" t="s">
        <v>108</v>
      </c>
      <c r="F138" s="92">
        <v>3.4722222222222224E-4</v>
      </c>
      <c r="G138" s="93">
        <v>44645.405555555553</v>
      </c>
      <c r="H138" s="93">
        <v>44645.40625</v>
      </c>
      <c r="I138" s="93">
        <v>44645.333333333336</v>
      </c>
    </row>
    <row r="139" spans="1:9" x14ac:dyDescent="0.25">
      <c r="A139" s="69">
        <v>105</v>
      </c>
      <c r="B139" s="95" t="s">
        <v>205</v>
      </c>
      <c r="C139" s="90">
        <v>52794126</v>
      </c>
      <c r="D139" s="90">
        <v>52794120</v>
      </c>
      <c r="E139" s="90" t="s">
        <v>108</v>
      </c>
      <c r="F139" s="92">
        <v>5.4282407407407404E-3</v>
      </c>
      <c r="G139" s="93">
        <v>44645.400694444441</v>
      </c>
      <c r="H139" s="93">
        <v>44645.405555555553</v>
      </c>
      <c r="I139" s="93">
        <v>44645.333333333336</v>
      </c>
    </row>
    <row r="140" spans="1:9" x14ac:dyDescent="0.25">
      <c r="A140" s="70">
        <v>106</v>
      </c>
      <c r="B140" s="95" t="s">
        <v>206</v>
      </c>
      <c r="C140" s="90">
        <v>52794125</v>
      </c>
      <c r="D140" s="90">
        <v>52794120</v>
      </c>
      <c r="E140" s="90" t="s">
        <v>108</v>
      </c>
      <c r="F140" s="92">
        <v>3.5879629629629635E-4</v>
      </c>
      <c r="G140" s="93">
        <v>44645.4</v>
      </c>
      <c r="H140" s="93">
        <v>44645.400694444441</v>
      </c>
      <c r="I140" s="93">
        <v>44645.333333333336</v>
      </c>
    </row>
    <row r="141" spans="1:9" x14ac:dyDescent="0.25">
      <c r="A141" s="69">
        <v>107</v>
      </c>
      <c r="B141" s="95" t="s">
        <v>207</v>
      </c>
      <c r="C141" s="90">
        <v>52794124</v>
      </c>
      <c r="D141" s="90">
        <v>52794120</v>
      </c>
      <c r="E141" s="90" t="s">
        <v>108</v>
      </c>
      <c r="F141" s="92">
        <v>6.9444444444444447E-4</v>
      </c>
      <c r="G141" s="93">
        <v>44645.399305555555</v>
      </c>
      <c r="H141" s="93">
        <v>44645.4</v>
      </c>
      <c r="I141" s="93">
        <v>44645.333333333336</v>
      </c>
    </row>
    <row r="142" spans="1:9" x14ac:dyDescent="0.25">
      <c r="A142" s="70">
        <v>108</v>
      </c>
      <c r="B142" s="95" t="s">
        <v>208</v>
      </c>
      <c r="C142" s="90">
        <v>52794123</v>
      </c>
      <c r="D142" s="90">
        <v>52794120</v>
      </c>
      <c r="E142" s="90" t="s">
        <v>108</v>
      </c>
      <c r="F142" s="92">
        <v>6.9444444444444444E-5</v>
      </c>
      <c r="G142" s="93">
        <v>44645.399305555555</v>
      </c>
      <c r="H142" s="93">
        <v>44645.399305555555</v>
      </c>
      <c r="I142" s="93">
        <v>44645.333333333336</v>
      </c>
    </row>
    <row r="143" spans="1:9" x14ac:dyDescent="0.25">
      <c r="A143" s="69">
        <v>109</v>
      </c>
      <c r="B143" s="95" t="s">
        <v>209</v>
      </c>
      <c r="C143" s="90">
        <v>52794122</v>
      </c>
      <c r="D143" s="90">
        <v>52794120</v>
      </c>
      <c r="E143" s="90" t="s">
        <v>108</v>
      </c>
      <c r="F143" s="92">
        <v>0</v>
      </c>
      <c r="G143" s="93">
        <v>44645.399305555555</v>
      </c>
      <c r="H143" s="93">
        <v>44645.399305555555</v>
      </c>
      <c r="I143" s="93">
        <v>44645.333333333336</v>
      </c>
    </row>
    <row r="144" spans="1:9" x14ac:dyDescent="0.25">
      <c r="A144" s="70">
        <v>110</v>
      </c>
      <c r="B144" s="95" t="s">
        <v>129</v>
      </c>
      <c r="C144" s="90">
        <v>52794121</v>
      </c>
      <c r="D144" s="90">
        <v>52794120</v>
      </c>
      <c r="E144" s="90" t="s">
        <v>108</v>
      </c>
      <c r="F144" s="92">
        <v>0</v>
      </c>
      <c r="G144" s="93">
        <v>44645.399305555555</v>
      </c>
      <c r="H144" s="93">
        <v>44645.399305555555</v>
      </c>
      <c r="I144" s="93">
        <v>44645.333333333336</v>
      </c>
    </row>
    <row r="145" spans="1:9" x14ac:dyDescent="0.25">
      <c r="A145" s="69">
        <v>111</v>
      </c>
      <c r="B145" s="89" t="s">
        <v>77</v>
      </c>
      <c r="C145" s="90">
        <v>52792868</v>
      </c>
      <c r="D145" s="90">
        <v>52794056</v>
      </c>
      <c r="E145" s="90" t="s">
        <v>108</v>
      </c>
      <c r="F145" s="92">
        <v>0.13421296296296295</v>
      </c>
      <c r="G145" s="93">
        <v>44645.422222222223</v>
      </c>
      <c r="H145" s="93">
        <v>44645.556250000001</v>
      </c>
      <c r="I145" s="93">
        <v>44645.333333333336</v>
      </c>
    </row>
    <row r="146" spans="1:9" x14ac:dyDescent="0.25">
      <c r="A146" s="70">
        <v>112</v>
      </c>
      <c r="B146" s="94" t="s">
        <v>221</v>
      </c>
      <c r="C146" s="90">
        <v>52796856</v>
      </c>
      <c r="D146" s="90">
        <v>52792868</v>
      </c>
      <c r="E146" s="90" t="s">
        <v>108</v>
      </c>
      <c r="F146" s="92">
        <v>1.4224537037037037E-2</v>
      </c>
      <c r="G146" s="93">
        <v>44645.533333333333</v>
      </c>
      <c r="H146" s="93">
        <v>44645.547222222223</v>
      </c>
      <c r="I146" s="93">
        <v>44645.532638888886</v>
      </c>
    </row>
    <row r="147" spans="1:9" x14ac:dyDescent="0.25">
      <c r="A147" s="69">
        <v>113</v>
      </c>
      <c r="B147" s="94" t="s">
        <v>211</v>
      </c>
      <c r="C147" s="90">
        <v>52793202</v>
      </c>
      <c r="D147" s="90">
        <v>52792868</v>
      </c>
      <c r="E147" s="90" t="s">
        <v>111</v>
      </c>
      <c r="F147" s="92">
        <v>0</v>
      </c>
      <c r="G147" s="91"/>
      <c r="H147" s="93">
        <v>44645.333333333336</v>
      </c>
      <c r="I147" s="93">
        <v>44645.333333333336</v>
      </c>
    </row>
    <row r="148" spans="1:9" x14ac:dyDescent="0.25">
      <c r="A148" s="70">
        <v>114</v>
      </c>
      <c r="B148" s="94" t="s">
        <v>213</v>
      </c>
      <c r="C148" s="90">
        <v>52794136</v>
      </c>
      <c r="D148" s="90">
        <v>52792868</v>
      </c>
      <c r="E148" s="90" t="s">
        <v>111</v>
      </c>
      <c r="F148" s="92">
        <v>0</v>
      </c>
      <c r="G148" s="91"/>
      <c r="H148" s="93">
        <v>44645.333333333336</v>
      </c>
      <c r="I148" s="93">
        <v>44645.333333333336</v>
      </c>
    </row>
    <row r="149" spans="1:9" x14ac:dyDescent="0.25">
      <c r="A149" s="69">
        <v>115</v>
      </c>
      <c r="B149" s="94" t="s">
        <v>210</v>
      </c>
      <c r="C149" s="90">
        <v>52794137</v>
      </c>
      <c r="D149" s="90">
        <v>52792868</v>
      </c>
      <c r="E149" s="90" t="s">
        <v>111</v>
      </c>
      <c r="F149" s="92">
        <v>0</v>
      </c>
      <c r="G149" s="91"/>
      <c r="H149" s="93">
        <v>44645.333333333336</v>
      </c>
      <c r="I149" s="93">
        <v>44645.333333333336</v>
      </c>
    </row>
    <row r="150" spans="1:9" x14ac:dyDescent="0.25">
      <c r="A150" s="70">
        <v>116</v>
      </c>
      <c r="B150" s="94" t="s">
        <v>212</v>
      </c>
      <c r="C150" s="90">
        <v>52794139</v>
      </c>
      <c r="D150" s="90">
        <v>52792868</v>
      </c>
      <c r="E150" s="90" t="s">
        <v>111</v>
      </c>
      <c r="F150" s="92">
        <v>0</v>
      </c>
      <c r="G150" s="91"/>
      <c r="H150" s="93">
        <v>44645.333333333336</v>
      </c>
      <c r="I150" s="93">
        <v>44645.333333333336</v>
      </c>
    </row>
    <row r="151" spans="1:9" x14ac:dyDescent="0.25">
      <c r="A151" s="69">
        <v>117</v>
      </c>
      <c r="B151" s="94" t="s">
        <v>214</v>
      </c>
      <c r="C151" s="90">
        <v>52793204</v>
      </c>
      <c r="D151" s="90">
        <v>52792868</v>
      </c>
      <c r="E151" s="90" t="s">
        <v>108</v>
      </c>
      <c r="F151" s="92">
        <v>0</v>
      </c>
      <c r="G151" s="93">
        <v>44645.556250000001</v>
      </c>
      <c r="H151" s="93">
        <v>44645.556250000001</v>
      </c>
      <c r="I151" s="93">
        <v>44645.333333333336</v>
      </c>
    </row>
    <row r="152" spans="1:9" x14ac:dyDescent="0.25">
      <c r="A152" s="70">
        <v>118</v>
      </c>
      <c r="B152" s="94" t="s">
        <v>161</v>
      </c>
      <c r="C152" s="90">
        <v>52793203</v>
      </c>
      <c r="D152" s="90">
        <v>52792868</v>
      </c>
      <c r="E152" s="90" t="s">
        <v>108</v>
      </c>
      <c r="F152" s="92">
        <v>1.3657407407407409E-3</v>
      </c>
      <c r="G152" s="93">
        <v>44645.554861111108</v>
      </c>
      <c r="H152" s="93">
        <v>44645.556250000001</v>
      </c>
      <c r="I152" s="93">
        <v>44645.333333333336</v>
      </c>
    </row>
    <row r="153" spans="1:9" x14ac:dyDescent="0.25">
      <c r="A153" s="69">
        <v>119</v>
      </c>
      <c r="B153" s="94" t="s">
        <v>215</v>
      </c>
      <c r="C153" s="90">
        <v>52794142</v>
      </c>
      <c r="D153" s="90">
        <v>52792868</v>
      </c>
      <c r="E153" s="90" t="s">
        <v>108</v>
      </c>
      <c r="F153" s="92">
        <v>5.0000000000000001E-3</v>
      </c>
      <c r="G153" s="93">
        <v>44645.54791666667</v>
      </c>
      <c r="H153" s="93">
        <v>44645.552777777775</v>
      </c>
      <c r="I153" s="93">
        <v>44645.333333333336</v>
      </c>
    </row>
    <row r="154" spans="1:9" x14ac:dyDescent="0.25">
      <c r="A154" s="70">
        <v>120</v>
      </c>
      <c r="B154" s="94" t="s">
        <v>216</v>
      </c>
      <c r="C154" s="90">
        <v>52794141</v>
      </c>
      <c r="D154" s="90">
        <v>52792868</v>
      </c>
      <c r="E154" s="90" t="s">
        <v>108</v>
      </c>
      <c r="F154" s="92">
        <v>8.1018518518518516E-5</v>
      </c>
      <c r="G154" s="93">
        <v>44645.54791666667</v>
      </c>
      <c r="H154" s="93">
        <v>44645.54791666667</v>
      </c>
      <c r="I154" s="93">
        <v>44645.333333333336</v>
      </c>
    </row>
    <row r="155" spans="1:9" x14ac:dyDescent="0.25">
      <c r="A155" s="69">
        <v>121</v>
      </c>
      <c r="B155" s="94" t="s">
        <v>217</v>
      </c>
      <c r="C155" s="90">
        <v>52794140</v>
      </c>
      <c r="D155" s="90">
        <v>52792868</v>
      </c>
      <c r="E155" s="90" t="s">
        <v>108</v>
      </c>
      <c r="F155" s="92">
        <v>7.083333333333333E-3</v>
      </c>
      <c r="G155" s="93">
        <v>44645.54791666667</v>
      </c>
      <c r="H155" s="93">
        <v>44645.554861111108</v>
      </c>
      <c r="I155" s="93">
        <v>44645.333333333336</v>
      </c>
    </row>
    <row r="156" spans="1:9" x14ac:dyDescent="0.25">
      <c r="A156" s="70">
        <v>122</v>
      </c>
      <c r="B156" s="94" t="s">
        <v>219</v>
      </c>
      <c r="C156" s="90">
        <v>52793201</v>
      </c>
      <c r="D156" s="90">
        <v>52792868</v>
      </c>
      <c r="E156" s="90" t="s">
        <v>108</v>
      </c>
      <c r="F156" s="92">
        <v>1.292824074074074E-2</v>
      </c>
      <c r="G156" s="93">
        <v>44645.53125</v>
      </c>
      <c r="H156" s="93">
        <v>44645.544444444444</v>
      </c>
      <c r="I156" s="93">
        <v>44645.333333333336</v>
      </c>
    </row>
    <row r="157" spans="1:9" x14ac:dyDescent="0.25">
      <c r="A157" s="69">
        <v>123</v>
      </c>
      <c r="B157" s="94" t="s">
        <v>218</v>
      </c>
      <c r="C157" s="90">
        <v>52794138</v>
      </c>
      <c r="D157" s="90">
        <v>52792868</v>
      </c>
      <c r="E157" s="90" t="s">
        <v>108</v>
      </c>
      <c r="F157" s="92">
        <v>1.6608796296296299E-2</v>
      </c>
      <c r="G157" s="93">
        <v>44645.53125</v>
      </c>
      <c r="H157" s="93">
        <v>44645.54791666667</v>
      </c>
      <c r="I157" s="93">
        <v>44645.333333333336</v>
      </c>
    </row>
    <row r="158" spans="1:9" x14ac:dyDescent="0.25">
      <c r="A158" s="70">
        <v>124</v>
      </c>
      <c r="B158" s="94" t="s">
        <v>220</v>
      </c>
      <c r="C158" s="90">
        <v>52792889</v>
      </c>
      <c r="D158" s="90">
        <v>52792868</v>
      </c>
      <c r="E158" s="90" t="s">
        <v>108</v>
      </c>
      <c r="F158" s="92">
        <v>6.9444444444444444E-5</v>
      </c>
      <c r="G158" s="93">
        <v>44645.53125</v>
      </c>
      <c r="H158" s="93">
        <v>44645.53125</v>
      </c>
      <c r="I158" s="93">
        <v>44645.333333333336</v>
      </c>
    </row>
    <row r="159" spans="1:9" x14ac:dyDescent="0.25">
      <c r="A159" s="69">
        <v>125</v>
      </c>
      <c r="B159" s="94" t="s">
        <v>221</v>
      </c>
      <c r="C159" s="90">
        <v>52792888</v>
      </c>
      <c r="D159" s="90">
        <v>52792868</v>
      </c>
      <c r="E159" s="90" t="s">
        <v>245</v>
      </c>
      <c r="F159" s="92">
        <v>2.4305555555555552E-4</v>
      </c>
      <c r="G159" s="93">
        <v>44645.53125</v>
      </c>
      <c r="H159" s="93">
        <v>44645.53125</v>
      </c>
      <c r="I159" s="93">
        <v>44645.333333333336</v>
      </c>
    </row>
    <row r="160" spans="1:9" x14ac:dyDescent="0.25">
      <c r="A160" s="70">
        <v>126</v>
      </c>
      <c r="B160" s="94" t="s">
        <v>222</v>
      </c>
      <c r="C160" s="90">
        <v>52792887</v>
      </c>
      <c r="D160" s="90">
        <v>52792868</v>
      </c>
      <c r="E160" s="90" t="s">
        <v>108</v>
      </c>
      <c r="F160" s="92">
        <v>3.1481481481481485E-2</v>
      </c>
      <c r="G160" s="93">
        <v>44645.499305555553</v>
      </c>
      <c r="H160" s="93">
        <v>44645.53125</v>
      </c>
      <c r="I160" s="93">
        <v>44645.333333333336</v>
      </c>
    </row>
    <row r="161" spans="1:9" x14ac:dyDescent="0.25">
      <c r="A161" s="69">
        <v>127</v>
      </c>
      <c r="B161" s="94" t="s">
        <v>223</v>
      </c>
      <c r="C161" s="90">
        <v>52792886</v>
      </c>
      <c r="D161" s="90">
        <v>52792868</v>
      </c>
      <c r="E161" s="90" t="s">
        <v>108</v>
      </c>
      <c r="F161" s="92">
        <v>9.2592592592592588E-5</v>
      </c>
      <c r="G161" s="93">
        <v>44645.499305555553</v>
      </c>
      <c r="H161" s="93">
        <v>44645.499305555553</v>
      </c>
      <c r="I161" s="93">
        <v>44645.333333333336</v>
      </c>
    </row>
    <row r="162" spans="1:9" x14ac:dyDescent="0.25">
      <c r="A162" s="70">
        <v>128</v>
      </c>
      <c r="B162" s="94" t="s">
        <v>231</v>
      </c>
      <c r="C162" s="90">
        <v>52792876</v>
      </c>
      <c r="D162" s="90">
        <v>52792868</v>
      </c>
      <c r="E162" s="90" t="s">
        <v>111</v>
      </c>
      <c r="F162" s="92">
        <v>0</v>
      </c>
      <c r="G162" s="91"/>
      <c r="H162" s="93">
        <v>44645.333333333336</v>
      </c>
      <c r="I162" s="93">
        <v>44645.333333333336</v>
      </c>
    </row>
    <row r="163" spans="1:9" x14ac:dyDescent="0.25">
      <c r="A163" s="69">
        <v>129</v>
      </c>
      <c r="B163" s="94" t="s">
        <v>229</v>
      </c>
      <c r="C163" s="90">
        <v>52792869</v>
      </c>
      <c r="D163" s="90">
        <v>52792868</v>
      </c>
      <c r="E163" s="90" t="s">
        <v>111</v>
      </c>
      <c r="F163" s="92">
        <v>0</v>
      </c>
      <c r="G163" s="91"/>
      <c r="H163" s="93">
        <v>44645.333333333336</v>
      </c>
      <c r="I163" s="93">
        <v>44645.333333333336</v>
      </c>
    </row>
    <row r="164" spans="1:9" x14ac:dyDescent="0.25">
      <c r="A164" s="70">
        <v>130</v>
      </c>
      <c r="B164" s="94" t="s">
        <v>230</v>
      </c>
      <c r="C164" s="90">
        <v>52792875</v>
      </c>
      <c r="D164" s="90">
        <v>52792868</v>
      </c>
      <c r="E164" s="90" t="s">
        <v>111</v>
      </c>
      <c r="F164" s="92">
        <v>0</v>
      </c>
      <c r="G164" s="91"/>
      <c r="H164" s="93">
        <v>44645.333333333336</v>
      </c>
      <c r="I164" s="93">
        <v>44645.333333333336</v>
      </c>
    </row>
    <row r="165" spans="1:9" x14ac:dyDescent="0.25">
      <c r="A165" s="69">
        <v>131</v>
      </c>
      <c r="B165" s="94" t="s">
        <v>232</v>
      </c>
      <c r="C165" s="90">
        <v>52792874</v>
      </c>
      <c r="D165" s="90">
        <v>52792868</v>
      </c>
      <c r="E165" s="90" t="s">
        <v>111</v>
      </c>
      <c r="F165" s="92">
        <v>0</v>
      </c>
      <c r="G165" s="91"/>
      <c r="H165" s="93">
        <v>44645.333333333336</v>
      </c>
      <c r="I165" s="93">
        <v>44645.333333333336</v>
      </c>
    </row>
    <row r="166" spans="1:9" x14ac:dyDescent="0.25">
      <c r="A166" s="70">
        <v>132</v>
      </c>
      <c r="B166" s="94" t="s">
        <v>224</v>
      </c>
      <c r="C166" s="90">
        <v>52792885</v>
      </c>
      <c r="D166" s="90">
        <v>52792868</v>
      </c>
      <c r="E166" s="90" t="s">
        <v>108</v>
      </c>
      <c r="F166" s="92">
        <v>6.9444444444444444E-5</v>
      </c>
      <c r="G166" s="93">
        <v>44645.499305555553</v>
      </c>
      <c r="H166" s="93">
        <v>44645.499305555553</v>
      </c>
      <c r="I166" s="93">
        <v>44645.333333333336</v>
      </c>
    </row>
    <row r="167" spans="1:9" x14ac:dyDescent="0.25">
      <c r="A167" s="69">
        <v>133</v>
      </c>
      <c r="B167" s="94" t="s">
        <v>225</v>
      </c>
      <c r="C167" s="90">
        <v>52792884</v>
      </c>
      <c r="D167" s="90">
        <v>52792868</v>
      </c>
      <c r="E167" s="90" t="s">
        <v>108</v>
      </c>
      <c r="F167" s="92">
        <v>4.386574074074074E-3</v>
      </c>
      <c r="G167" s="93">
        <v>44645.495138888888</v>
      </c>
      <c r="H167" s="93">
        <v>44645.499305555553</v>
      </c>
      <c r="I167" s="93">
        <v>44645.333333333336</v>
      </c>
    </row>
    <row r="168" spans="1:9" x14ac:dyDescent="0.25">
      <c r="A168" s="70">
        <v>134</v>
      </c>
      <c r="B168" s="94" t="s">
        <v>226</v>
      </c>
      <c r="C168" s="90">
        <v>52792883</v>
      </c>
      <c r="D168" s="90">
        <v>52792868</v>
      </c>
      <c r="E168" s="90" t="s">
        <v>108</v>
      </c>
      <c r="F168" s="92">
        <v>4.7685185185185183E-3</v>
      </c>
      <c r="G168" s="93">
        <v>44645.490277777775</v>
      </c>
      <c r="H168" s="93">
        <v>44645.495138888888</v>
      </c>
      <c r="I168" s="93">
        <v>44645.333333333336</v>
      </c>
    </row>
    <row r="169" spans="1:9" x14ac:dyDescent="0.25">
      <c r="A169" s="69">
        <v>135</v>
      </c>
      <c r="B169" s="94" t="s">
        <v>136</v>
      </c>
      <c r="C169" s="90">
        <v>52792878</v>
      </c>
      <c r="D169" s="90">
        <v>52792868</v>
      </c>
      <c r="E169" s="90" t="s">
        <v>108</v>
      </c>
      <c r="F169" s="92">
        <v>1.1574074074074073E-5</v>
      </c>
      <c r="G169" s="93">
        <v>44645.42291666667</v>
      </c>
      <c r="H169" s="93">
        <v>44645.42291666667</v>
      </c>
      <c r="I169" s="93">
        <v>44645.333333333336</v>
      </c>
    </row>
    <row r="170" spans="1:9" x14ac:dyDescent="0.25">
      <c r="A170" s="70">
        <v>136</v>
      </c>
      <c r="B170" s="94" t="s">
        <v>233</v>
      </c>
      <c r="C170" s="90">
        <v>52792877</v>
      </c>
      <c r="D170" s="90">
        <v>52792868</v>
      </c>
      <c r="E170" s="90" t="s">
        <v>108</v>
      </c>
      <c r="F170" s="92">
        <v>3.4722222222222222E-5</v>
      </c>
      <c r="G170" s="93">
        <v>44645.42291666667</v>
      </c>
      <c r="H170" s="93">
        <v>44645.42291666667</v>
      </c>
      <c r="I170" s="93">
        <v>44645.333333333336</v>
      </c>
    </row>
    <row r="171" spans="1:9" x14ac:dyDescent="0.25">
      <c r="A171" s="69">
        <v>137</v>
      </c>
      <c r="B171" s="94" t="s">
        <v>134</v>
      </c>
      <c r="C171" s="90">
        <v>52792880</v>
      </c>
      <c r="D171" s="90">
        <v>52792868</v>
      </c>
      <c r="E171" s="90" t="s">
        <v>108</v>
      </c>
      <c r="F171" s="92">
        <v>1.1574074074074073E-5</v>
      </c>
      <c r="G171" s="93">
        <v>44645.42291666667</v>
      </c>
      <c r="H171" s="93">
        <v>44645.42291666667</v>
      </c>
      <c r="I171" s="93">
        <v>44645.333333333336</v>
      </c>
    </row>
    <row r="172" spans="1:9" x14ac:dyDescent="0.25">
      <c r="A172" s="70">
        <v>138</v>
      </c>
      <c r="B172" s="94" t="s">
        <v>227</v>
      </c>
      <c r="C172" s="90">
        <v>52792879</v>
      </c>
      <c r="D172" s="90">
        <v>52792868</v>
      </c>
      <c r="E172" s="90" t="s">
        <v>108</v>
      </c>
      <c r="F172" s="92">
        <v>3.4722222222222222E-5</v>
      </c>
      <c r="G172" s="93">
        <v>44645.422222222223</v>
      </c>
      <c r="H172" s="93">
        <v>44645.422222222223</v>
      </c>
      <c r="I172" s="93">
        <v>44645.333333333336</v>
      </c>
    </row>
    <row r="173" spans="1:9" x14ac:dyDescent="0.25">
      <c r="A173" s="69">
        <v>139</v>
      </c>
      <c r="B173" s="94" t="s">
        <v>132</v>
      </c>
      <c r="C173" s="90">
        <v>52792882</v>
      </c>
      <c r="D173" s="90">
        <v>52792868</v>
      </c>
      <c r="E173" s="90" t="s">
        <v>108</v>
      </c>
      <c r="F173" s="92">
        <v>2.3148148148148147E-5</v>
      </c>
      <c r="G173" s="93">
        <v>44645.422222222223</v>
      </c>
      <c r="H173" s="93">
        <v>44645.422222222223</v>
      </c>
      <c r="I173" s="93">
        <v>44645.333333333336</v>
      </c>
    </row>
    <row r="174" spans="1:9" x14ac:dyDescent="0.25">
      <c r="A174" s="70">
        <v>140</v>
      </c>
      <c r="B174" s="94" t="s">
        <v>228</v>
      </c>
      <c r="C174" s="90">
        <v>52792881</v>
      </c>
      <c r="D174" s="90">
        <v>52792868</v>
      </c>
      <c r="E174" s="90" t="s">
        <v>108</v>
      </c>
      <c r="F174" s="92">
        <v>4.6296296296296294E-5</v>
      </c>
      <c r="G174" s="93">
        <v>44645.422222222223</v>
      </c>
      <c r="H174" s="93">
        <v>44645.422222222223</v>
      </c>
      <c r="I174" s="93">
        <v>44645.333333333336</v>
      </c>
    </row>
    <row r="175" spans="1:9" x14ac:dyDescent="0.25">
      <c r="A175" s="69">
        <v>141</v>
      </c>
      <c r="B175" s="94" t="s">
        <v>235</v>
      </c>
      <c r="C175" s="90">
        <v>52792871</v>
      </c>
      <c r="D175" s="90">
        <v>52792868</v>
      </c>
      <c r="E175" s="90" t="s">
        <v>108</v>
      </c>
      <c r="F175" s="92">
        <v>6.134259259259259E-4</v>
      </c>
      <c r="G175" s="93">
        <v>44645.422222222223</v>
      </c>
      <c r="H175" s="93">
        <v>44645.42291666667</v>
      </c>
      <c r="I175" s="93">
        <v>44645.333333333336</v>
      </c>
    </row>
    <row r="176" spans="1:9" x14ac:dyDescent="0.25">
      <c r="A176" s="70">
        <v>142</v>
      </c>
      <c r="B176" s="94" t="s">
        <v>237</v>
      </c>
      <c r="C176" s="90">
        <v>52792872</v>
      </c>
      <c r="D176" s="90">
        <v>52792868</v>
      </c>
      <c r="E176" s="90" t="s">
        <v>108</v>
      </c>
      <c r="F176" s="92">
        <v>2.4305555555555552E-4</v>
      </c>
      <c r="G176" s="93">
        <v>44645.422222222223</v>
      </c>
      <c r="H176" s="93">
        <v>44645.422222222223</v>
      </c>
      <c r="I176" s="93">
        <v>44645.333333333336</v>
      </c>
    </row>
    <row r="177" spans="1:9" x14ac:dyDescent="0.25">
      <c r="A177" s="69">
        <v>143</v>
      </c>
      <c r="B177" s="94" t="s">
        <v>234</v>
      </c>
      <c r="C177" s="90">
        <v>52792873</v>
      </c>
      <c r="D177" s="90">
        <v>52792868</v>
      </c>
      <c r="E177" s="90" t="s">
        <v>108</v>
      </c>
      <c r="F177" s="92">
        <v>1.3888888888888889E-4</v>
      </c>
      <c r="G177" s="93">
        <v>44645.422222222223</v>
      </c>
      <c r="H177" s="93">
        <v>44645.422222222223</v>
      </c>
      <c r="I177" s="93">
        <v>44645.333333333336</v>
      </c>
    </row>
    <row r="178" spans="1:9" x14ac:dyDescent="0.25">
      <c r="A178" s="70">
        <v>144</v>
      </c>
      <c r="B178" s="94" t="s">
        <v>236</v>
      </c>
      <c r="C178" s="90">
        <v>52792870</v>
      </c>
      <c r="D178" s="90">
        <v>52792868</v>
      </c>
      <c r="E178" s="90" t="s">
        <v>108</v>
      </c>
      <c r="F178" s="92">
        <v>9.2592592592592588E-5</v>
      </c>
      <c r="G178" s="93">
        <v>44645.422222222223</v>
      </c>
      <c r="H178" s="93">
        <v>44645.422222222223</v>
      </c>
      <c r="I178" s="93">
        <v>44645.333333333336</v>
      </c>
    </row>
    <row r="179" spans="1:9" x14ac:dyDescent="0.25">
      <c r="A179" s="69">
        <v>145</v>
      </c>
      <c r="B179" s="89" t="s">
        <v>78</v>
      </c>
      <c r="C179" s="90">
        <v>52793205</v>
      </c>
      <c r="D179" s="90">
        <v>52794056</v>
      </c>
      <c r="E179" s="90" t="s">
        <v>108</v>
      </c>
      <c r="F179" s="92">
        <v>8.711805555555556E-2</v>
      </c>
      <c r="G179" s="93">
        <v>44645.414583333331</v>
      </c>
      <c r="H179" s="93">
        <v>44645.502083333333</v>
      </c>
      <c r="I179" s="93">
        <v>44645.333333333336</v>
      </c>
    </row>
    <row r="180" spans="1:9" x14ac:dyDescent="0.25">
      <c r="A180" s="70">
        <v>146</v>
      </c>
      <c r="B180" s="94" t="s">
        <v>239</v>
      </c>
      <c r="C180" s="90">
        <v>52793207</v>
      </c>
      <c r="D180" s="90">
        <v>52793205</v>
      </c>
      <c r="E180" s="90" t="s">
        <v>111</v>
      </c>
      <c r="F180" s="92">
        <v>0</v>
      </c>
      <c r="G180" s="91"/>
      <c r="H180" s="93">
        <v>44645.333333333336</v>
      </c>
      <c r="I180" s="93">
        <v>44645.333333333336</v>
      </c>
    </row>
    <row r="181" spans="1:9" x14ac:dyDescent="0.25">
      <c r="A181" s="69">
        <v>147</v>
      </c>
      <c r="B181" s="94" t="s">
        <v>238</v>
      </c>
      <c r="C181" s="90">
        <v>52793209</v>
      </c>
      <c r="D181" s="90">
        <v>52793205</v>
      </c>
      <c r="E181" s="90" t="s">
        <v>111</v>
      </c>
      <c r="F181" s="92">
        <v>0</v>
      </c>
      <c r="G181" s="91"/>
      <c r="H181" s="93">
        <v>44645.333333333336</v>
      </c>
      <c r="I181" s="93">
        <v>44645.333333333336</v>
      </c>
    </row>
    <row r="182" spans="1:9" x14ac:dyDescent="0.25">
      <c r="A182" s="70">
        <v>148</v>
      </c>
      <c r="B182" s="94" t="s">
        <v>241</v>
      </c>
      <c r="C182" s="90">
        <v>52793208</v>
      </c>
      <c r="D182" s="90">
        <v>52793205</v>
      </c>
      <c r="E182" s="90" t="s">
        <v>108</v>
      </c>
      <c r="F182" s="92">
        <v>2.6620370370370372E-4</v>
      </c>
      <c r="G182" s="93">
        <v>44645.502083333333</v>
      </c>
      <c r="H182" s="93">
        <v>44645.502083333333</v>
      </c>
      <c r="I182" s="93">
        <v>44645.333333333336</v>
      </c>
    </row>
    <row r="183" spans="1:9" x14ac:dyDescent="0.25">
      <c r="A183" s="69">
        <v>149</v>
      </c>
      <c r="B183" s="94" t="s">
        <v>240</v>
      </c>
      <c r="C183" s="90">
        <v>52793206</v>
      </c>
      <c r="D183" s="90">
        <v>52793205</v>
      </c>
      <c r="E183" s="90" t="s">
        <v>108</v>
      </c>
      <c r="F183" s="92">
        <v>3.9814814814814817E-3</v>
      </c>
      <c r="G183" s="93">
        <v>44645.494444444441</v>
      </c>
      <c r="H183" s="93">
        <v>44645.498611111114</v>
      </c>
      <c r="I183" s="93">
        <v>44645.333333333336</v>
      </c>
    </row>
    <row r="184" spans="1:9" x14ac:dyDescent="0.25">
      <c r="A184" s="70">
        <v>150</v>
      </c>
      <c r="B184" s="89" t="s">
        <v>262</v>
      </c>
      <c r="C184" s="90">
        <v>52793210</v>
      </c>
      <c r="D184" s="90">
        <v>52794056</v>
      </c>
      <c r="E184" s="90" t="s">
        <v>108</v>
      </c>
      <c r="F184" s="92">
        <v>3.4722222222222222E-5</v>
      </c>
      <c r="G184" s="93">
        <v>44645.411111111112</v>
      </c>
      <c r="H184" s="93">
        <v>44645.411111111112</v>
      </c>
      <c r="I184" s="93">
        <v>44645.333333333336</v>
      </c>
    </row>
    <row r="185" spans="1:9" x14ac:dyDescent="0.25">
      <c r="A185" s="69">
        <v>151</v>
      </c>
      <c r="B185" s="89" t="s">
        <v>79</v>
      </c>
      <c r="C185" s="90">
        <v>52793221</v>
      </c>
      <c r="D185" s="90">
        <v>52794056</v>
      </c>
      <c r="E185" s="90" t="s">
        <v>108</v>
      </c>
      <c r="F185" s="92">
        <v>5.7523148148148143E-3</v>
      </c>
      <c r="G185" s="93">
        <v>44645.460416666669</v>
      </c>
      <c r="H185" s="93">
        <v>44645.466666666667</v>
      </c>
      <c r="I185" s="93">
        <v>44645.333333333336</v>
      </c>
    </row>
    <row r="186" spans="1:9" x14ac:dyDescent="0.25">
      <c r="A186" s="70">
        <v>152</v>
      </c>
      <c r="B186" s="94" t="s">
        <v>246</v>
      </c>
      <c r="C186" s="90">
        <v>52789793</v>
      </c>
      <c r="D186" s="90">
        <v>52793221</v>
      </c>
      <c r="E186" s="90" t="s">
        <v>108</v>
      </c>
      <c r="F186" s="92">
        <v>3.4722222222222224E-4</v>
      </c>
      <c r="G186" s="93">
        <v>44645.461111111108</v>
      </c>
      <c r="H186" s="93">
        <v>44645.461805555555</v>
      </c>
      <c r="I186" s="93">
        <v>44645.333333333336</v>
      </c>
    </row>
    <row r="187" spans="1:9" x14ac:dyDescent="0.25">
      <c r="A187" s="69">
        <v>153</v>
      </c>
      <c r="B187" s="94" t="s">
        <v>247</v>
      </c>
      <c r="C187" s="90">
        <v>52789792</v>
      </c>
      <c r="D187" s="90">
        <v>52793221</v>
      </c>
      <c r="E187" s="90" t="s">
        <v>108</v>
      </c>
      <c r="F187" s="92">
        <v>3.4722222222222224E-4</v>
      </c>
      <c r="G187" s="93">
        <v>44645.461111111108</v>
      </c>
      <c r="H187" s="93">
        <v>44645.461111111108</v>
      </c>
      <c r="I187" s="93">
        <v>44645.333333333336</v>
      </c>
    </row>
    <row r="188" spans="1:9" x14ac:dyDescent="0.25">
      <c r="A188" s="70">
        <v>154</v>
      </c>
      <c r="B188" s="94" t="s">
        <v>253</v>
      </c>
      <c r="C188" s="90">
        <v>52793222</v>
      </c>
      <c r="D188" s="90">
        <v>52793221</v>
      </c>
      <c r="E188" s="90" t="s">
        <v>111</v>
      </c>
      <c r="F188" s="92">
        <v>0</v>
      </c>
      <c r="G188" s="91"/>
      <c r="H188" s="93">
        <v>44645.333333333336</v>
      </c>
      <c r="I188" s="93">
        <v>44645.333333333336</v>
      </c>
    </row>
    <row r="189" spans="1:9" x14ac:dyDescent="0.25">
      <c r="A189" s="69">
        <v>155</v>
      </c>
      <c r="B189" s="94" t="s">
        <v>252</v>
      </c>
      <c r="C189" s="90">
        <v>52789777</v>
      </c>
      <c r="D189" s="90">
        <v>52793221</v>
      </c>
      <c r="E189" s="90" t="s">
        <v>111</v>
      </c>
      <c r="F189" s="92">
        <v>0</v>
      </c>
      <c r="G189" s="91"/>
      <c r="H189" s="93">
        <v>44645.333333333336</v>
      </c>
      <c r="I189" s="93">
        <v>44645.333333333336</v>
      </c>
    </row>
    <row r="190" spans="1:9" x14ac:dyDescent="0.25">
      <c r="A190" s="70">
        <v>156</v>
      </c>
      <c r="B190" s="94" t="s">
        <v>242</v>
      </c>
      <c r="C190" s="90">
        <v>52789789</v>
      </c>
      <c r="D190" s="90">
        <v>52793221</v>
      </c>
      <c r="E190" s="90" t="s">
        <v>108</v>
      </c>
      <c r="F190" s="92">
        <v>1.1921296296296296E-3</v>
      </c>
      <c r="G190" s="93">
        <v>44645.465277777781</v>
      </c>
      <c r="H190" s="93">
        <v>44645.466666666667</v>
      </c>
      <c r="I190" s="93">
        <v>44645.333333333336</v>
      </c>
    </row>
    <row r="191" spans="1:9" x14ac:dyDescent="0.25">
      <c r="A191" s="69">
        <v>157</v>
      </c>
      <c r="B191" s="94" t="s">
        <v>243</v>
      </c>
      <c r="C191" s="90">
        <v>52789788</v>
      </c>
      <c r="D191" s="90">
        <v>52793221</v>
      </c>
      <c r="E191" s="90" t="s">
        <v>108</v>
      </c>
      <c r="F191" s="92">
        <v>2.3148148148148147E-5</v>
      </c>
      <c r="G191" s="93">
        <v>44645.465277777781</v>
      </c>
      <c r="H191" s="93">
        <v>44645.465277777781</v>
      </c>
      <c r="I191" s="93">
        <v>44645.333333333336</v>
      </c>
    </row>
    <row r="192" spans="1:9" x14ac:dyDescent="0.25">
      <c r="A192" s="70">
        <v>158</v>
      </c>
      <c r="B192" s="94" t="s">
        <v>244</v>
      </c>
      <c r="C192" s="90">
        <v>52789787</v>
      </c>
      <c r="D192" s="90">
        <v>52793221</v>
      </c>
      <c r="E192" s="90" t="s">
        <v>245</v>
      </c>
      <c r="F192" s="92">
        <v>3.2638888888888891E-3</v>
      </c>
      <c r="G192" s="93">
        <v>44645.461805555555</v>
      </c>
      <c r="H192" s="93">
        <v>44645.465277777781</v>
      </c>
      <c r="I192" s="93">
        <v>44645.333333333336</v>
      </c>
    </row>
    <row r="193" spans="1:9" x14ac:dyDescent="0.25">
      <c r="A193" s="69">
        <v>159</v>
      </c>
      <c r="B193" s="94" t="s">
        <v>254</v>
      </c>
      <c r="C193" s="90">
        <v>52789784</v>
      </c>
      <c r="D193" s="90">
        <v>52793221</v>
      </c>
      <c r="E193" s="90" t="s">
        <v>108</v>
      </c>
      <c r="F193" s="92">
        <v>3.4722222222222224E-4</v>
      </c>
      <c r="G193" s="93">
        <v>44645.461111111108</v>
      </c>
      <c r="H193" s="93">
        <v>44645.461111111108</v>
      </c>
      <c r="I193" s="93">
        <v>44645.333333333336</v>
      </c>
    </row>
    <row r="194" spans="1:9" x14ac:dyDescent="0.25">
      <c r="A194" s="70">
        <v>160</v>
      </c>
      <c r="B194" s="94" t="s">
        <v>248</v>
      </c>
      <c r="C194" s="90">
        <v>52789791</v>
      </c>
      <c r="D194" s="90">
        <v>52793221</v>
      </c>
      <c r="E194" s="90" t="s">
        <v>108</v>
      </c>
      <c r="F194" s="92">
        <v>3.4722222222222224E-4</v>
      </c>
      <c r="G194" s="93">
        <v>44645.460416666669</v>
      </c>
      <c r="H194" s="93">
        <v>44645.461111111108</v>
      </c>
      <c r="I194" s="93">
        <v>44645.333333333336</v>
      </c>
    </row>
    <row r="195" spans="1:9" x14ac:dyDescent="0.25">
      <c r="A195" s="69">
        <v>161</v>
      </c>
      <c r="B195" s="94" t="s">
        <v>249</v>
      </c>
      <c r="C195" s="90">
        <v>52789790</v>
      </c>
      <c r="D195" s="90">
        <v>52793221</v>
      </c>
      <c r="E195" s="90" t="s">
        <v>108</v>
      </c>
      <c r="F195" s="92">
        <v>2.3148148148148147E-5</v>
      </c>
      <c r="G195" s="93">
        <v>44645.460416666669</v>
      </c>
      <c r="H195" s="93">
        <v>44645.460416666669</v>
      </c>
      <c r="I195" s="93">
        <v>44645.333333333336</v>
      </c>
    </row>
    <row r="196" spans="1:9" x14ac:dyDescent="0.25">
      <c r="A196" s="70">
        <v>162</v>
      </c>
      <c r="B196" s="94" t="s">
        <v>255</v>
      </c>
      <c r="C196" s="90">
        <v>52789783</v>
      </c>
      <c r="D196" s="90">
        <v>52793221</v>
      </c>
      <c r="E196" s="90" t="s">
        <v>108</v>
      </c>
      <c r="F196" s="92">
        <v>3.4722222222222224E-4</v>
      </c>
      <c r="G196" s="93">
        <v>44645.460416666669</v>
      </c>
      <c r="H196" s="93">
        <v>44645.461111111108</v>
      </c>
      <c r="I196" s="93">
        <v>44645.333333333336</v>
      </c>
    </row>
    <row r="197" spans="1:9" x14ac:dyDescent="0.25">
      <c r="A197" s="69">
        <v>163</v>
      </c>
      <c r="B197" s="94" t="s">
        <v>259</v>
      </c>
      <c r="C197" s="90">
        <v>52789782</v>
      </c>
      <c r="D197" s="90">
        <v>52793221</v>
      </c>
      <c r="E197" s="90" t="s">
        <v>108</v>
      </c>
      <c r="F197" s="92">
        <v>1.1574074074074073E-5</v>
      </c>
      <c r="G197" s="93">
        <v>44645.460416666669</v>
      </c>
      <c r="H197" s="93">
        <v>44645.460416666669</v>
      </c>
      <c r="I197" s="93">
        <v>44645.333333333336</v>
      </c>
    </row>
    <row r="198" spans="1:9" x14ac:dyDescent="0.25">
      <c r="A198" s="70">
        <v>164</v>
      </c>
      <c r="B198" s="94" t="s">
        <v>258</v>
      </c>
      <c r="C198" s="90">
        <v>52789780</v>
      </c>
      <c r="D198" s="90">
        <v>52793221</v>
      </c>
      <c r="E198" s="90" t="s">
        <v>108</v>
      </c>
      <c r="F198" s="92">
        <v>2.3148148148148147E-5</v>
      </c>
      <c r="G198" s="93">
        <v>44645.460416666669</v>
      </c>
      <c r="H198" s="93">
        <v>44645.460416666669</v>
      </c>
      <c r="I198" s="93">
        <v>44645.333333333336</v>
      </c>
    </row>
    <row r="199" spans="1:9" x14ac:dyDescent="0.25">
      <c r="A199" s="69">
        <v>165</v>
      </c>
      <c r="B199" s="94" t="s">
        <v>256</v>
      </c>
      <c r="C199" s="90">
        <v>52789781</v>
      </c>
      <c r="D199" s="90">
        <v>52793221</v>
      </c>
      <c r="E199" s="90" t="s">
        <v>108</v>
      </c>
      <c r="F199" s="92">
        <v>1.1574074074074073E-5</v>
      </c>
      <c r="G199" s="93">
        <v>44645.460416666669</v>
      </c>
      <c r="H199" s="93">
        <v>44645.460416666669</v>
      </c>
      <c r="I199" s="93">
        <v>44645.333333333336</v>
      </c>
    </row>
    <row r="200" spans="1:9" x14ac:dyDescent="0.25">
      <c r="A200" s="70">
        <v>166</v>
      </c>
      <c r="B200" s="94" t="s">
        <v>257</v>
      </c>
      <c r="C200" s="90">
        <v>52789779</v>
      </c>
      <c r="D200" s="90">
        <v>52793221</v>
      </c>
      <c r="E200" s="90" t="s">
        <v>108</v>
      </c>
      <c r="F200" s="92">
        <v>2.3148148148148147E-5</v>
      </c>
      <c r="G200" s="93">
        <v>44645.460416666669</v>
      </c>
      <c r="H200" s="93">
        <v>44645.460416666669</v>
      </c>
      <c r="I200" s="93">
        <v>44645.333333333336</v>
      </c>
    </row>
    <row r="201" spans="1:9" x14ac:dyDescent="0.25">
      <c r="A201" s="69">
        <v>167</v>
      </c>
      <c r="B201" s="94" t="s">
        <v>250</v>
      </c>
      <c r="C201" s="90">
        <v>52789786</v>
      </c>
      <c r="D201" s="90">
        <v>52793221</v>
      </c>
      <c r="E201" s="90" t="s">
        <v>108</v>
      </c>
      <c r="F201" s="92">
        <v>1.0648148148148147E-3</v>
      </c>
      <c r="G201" s="93">
        <v>44645.460416666669</v>
      </c>
      <c r="H201" s="93">
        <v>44645.461805555555</v>
      </c>
      <c r="I201" s="93">
        <v>44645.333333333336</v>
      </c>
    </row>
    <row r="202" spans="1:9" x14ac:dyDescent="0.25">
      <c r="A202" s="70">
        <v>168</v>
      </c>
      <c r="B202" s="94" t="s">
        <v>260</v>
      </c>
      <c r="C202" s="90">
        <v>52789778</v>
      </c>
      <c r="D202" s="90">
        <v>52793221</v>
      </c>
      <c r="E202" s="90" t="s">
        <v>108</v>
      </c>
      <c r="F202" s="92">
        <v>2.3148148148148147E-5</v>
      </c>
      <c r="G202" s="93">
        <v>44645.460416666669</v>
      </c>
      <c r="H202" s="93">
        <v>44645.460416666669</v>
      </c>
      <c r="I202" s="93">
        <v>44645.333333333336</v>
      </c>
    </row>
    <row r="203" spans="1:9" x14ac:dyDescent="0.25">
      <c r="A203" s="69">
        <v>169</v>
      </c>
      <c r="B203" s="94" t="s">
        <v>251</v>
      </c>
      <c r="C203" s="90">
        <v>52789785</v>
      </c>
      <c r="D203" s="90">
        <v>52793221</v>
      </c>
      <c r="E203" s="90" t="s">
        <v>108</v>
      </c>
      <c r="F203" s="92">
        <v>1.1574074074074073E-5</v>
      </c>
      <c r="G203" s="93">
        <v>44645.460416666669</v>
      </c>
      <c r="H203" s="93">
        <v>44645.460416666669</v>
      </c>
      <c r="I203" s="93">
        <v>44645.333333333336</v>
      </c>
    </row>
    <row r="204" spans="1:9" x14ac:dyDescent="0.25">
      <c r="A204" s="70">
        <v>170</v>
      </c>
      <c r="B204" s="89" t="s">
        <v>261</v>
      </c>
      <c r="C204" s="90">
        <v>52793220</v>
      </c>
      <c r="D204" s="90">
        <v>52794056</v>
      </c>
      <c r="E204" s="90" t="s">
        <v>108</v>
      </c>
      <c r="F204" s="92">
        <v>6.018518518518519E-4</v>
      </c>
      <c r="G204" s="93">
        <v>44645.459722222222</v>
      </c>
      <c r="H204" s="93">
        <v>44645.460416666669</v>
      </c>
      <c r="I204" s="93">
        <v>44645.333333333336</v>
      </c>
    </row>
    <row r="205" spans="1:9" x14ac:dyDescent="0.25">
      <c r="A205" s="69">
        <v>171</v>
      </c>
      <c r="B205" s="89" t="s">
        <v>263</v>
      </c>
      <c r="C205" s="90">
        <v>52789794</v>
      </c>
      <c r="D205" s="90">
        <v>52794056</v>
      </c>
      <c r="E205" s="90" t="s">
        <v>111</v>
      </c>
      <c r="F205" s="92">
        <v>0</v>
      </c>
      <c r="G205" s="91"/>
      <c r="H205" s="93">
        <v>44645.333333333336</v>
      </c>
      <c r="I205" s="93">
        <v>44645.333333333336</v>
      </c>
    </row>
    <row r="206" spans="1:9" x14ac:dyDescent="0.25">
      <c r="A206" s="70">
        <v>172</v>
      </c>
      <c r="B206" s="89" t="s">
        <v>80</v>
      </c>
      <c r="C206" s="90">
        <v>52789795</v>
      </c>
      <c r="D206" s="90">
        <v>52794056</v>
      </c>
      <c r="E206" s="90" t="s">
        <v>108</v>
      </c>
      <c r="F206" s="92">
        <v>2.0057870370370368E-2</v>
      </c>
      <c r="G206" s="93">
        <v>44645.466666666667</v>
      </c>
      <c r="H206" s="93">
        <v>44645.486111111109</v>
      </c>
      <c r="I206" s="93">
        <v>44645.333333333336</v>
      </c>
    </row>
    <row r="207" spans="1:9" x14ac:dyDescent="0.25">
      <c r="A207" s="69">
        <v>173</v>
      </c>
      <c r="B207" s="94" t="s">
        <v>264</v>
      </c>
      <c r="C207" s="90">
        <v>52794185</v>
      </c>
      <c r="D207" s="90">
        <v>52789795</v>
      </c>
      <c r="E207" s="90" t="s">
        <v>108</v>
      </c>
      <c r="F207" s="92">
        <v>2.7777777777777779E-3</v>
      </c>
      <c r="G207" s="93">
        <v>44645.482638888891</v>
      </c>
      <c r="H207" s="93">
        <v>44645.48541666667</v>
      </c>
      <c r="I207" s="93">
        <v>44645.333333333336</v>
      </c>
    </row>
    <row r="208" spans="1:9" x14ac:dyDescent="0.25">
      <c r="A208" s="70">
        <v>174</v>
      </c>
      <c r="B208" s="94" t="s">
        <v>311</v>
      </c>
      <c r="C208" s="90">
        <v>52789813</v>
      </c>
      <c r="D208" s="90">
        <v>52789795</v>
      </c>
      <c r="E208" s="90" t="s">
        <v>170</v>
      </c>
      <c r="F208" s="92">
        <v>0</v>
      </c>
      <c r="G208" s="91"/>
      <c r="H208" s="93">
        <v>44645.466666666667</v>
      </c>
      <c r="I208" s="93">
        <v>44645.333333333336</v>
      </c>
    </row>
    <row r="209" spans="1:9" x14ac:dyDescent="0.25">
      <c r="A209" s="69">
        <v>175</v>
      </c>
      <c r="B209" s="94" t="s">
        <v>265</v>
      </c>
      <c r="C209" s="90">
        <v>52789815</v>
      </c>
      <c r="D209" s="90">
        <v>52789795</v>
      </c>
      <c r="E209" s="90" t="s">
        <v>245</v>
      </c>
      <c r="F209" s="92">
        <v>1.5023148148148148E-2</v>
      </c>
      <c r="G209" s="93">
        <v>44645.468055555553</v>
      </c>
      <c r="H209" s="93">
        <v>44645.482638888891</v>
      </c>
      <c r="I209" s="93">
        <v>44645.333333333336</v>
      </c>
    </row>
    <row r="210" spans="1:9" x14ac:dyDescent="0.25">
      <c r="A210" s="70">
        <v>176</v>
      </c>
      <c r="B210" s="94" t="s">
        <v>312</v>
      </c>
      <c r="C210" s="90">
        <v>52789814</v>
      </c>
      <c r="D210" s="90">
        <v>52789795</v>
      </c>
      <c r="E210" s="90" t="s">
        <v>108</v>
      </c>
      <c r="F210" s="92">
        <v>3.4722222222222224E-4</v>
      </c>
      <c r="G210" s="93">
        <v>44645.467361111114</v>
      </c>
      <c r="H210" s="93">
        <v>44645.468055555553</v>
      </c>
      <c r="I210" s="93">
        <v>44645.333333333336</v>
      </c>
    </row>
    <row r="211" spans="1:9" x14ac:dyDescent="0.25">
      <c r="A211" s="69">
        <v>177</v>
      </c>
      <c r="B211" s="94" t="s">
        <v>266</v>
      </c>
      <c r="C211" s="90">
        <v>52789816</v>
      </c>
      <c r="D211" s="90">
        <v>52789795</v>
      </c>
      <c r="E211" s="90" t="s">
        <v>108</v>
      </c>
      <c r="F211" s="92">
        <v>2.0057870370370368E-2</v>
      </c>
      <c r="G211" s="93">
        <v>44645.466666666667</v>
      </c>
      <c r="H211" s="93">
        <v>44645.486111111109</v>
      </c>
      <c r="I211" s="93">
        <v>44645.333333333336</v>
      </c>
    </row>
    <row r="212" spans="1:9" x14ac:dyDescent="0.25">
      <c r="A212" s="70">
        <v>178</v>
      </c>
      <c r="B212" s="95" t="s">
        <v>274</v>
      </c>
      <c r="C212" s="90">
        <v>52794179</v>
      </c>
      <c r="D212" s="90">
        <v>52789816</v>
      </c>
      <c r="E212" s="90" t="s">
        <v>170</v>
      </c>
      <c r="F212" s="92">
        <v>0</v>
      </c>
      <c r="G212" s="91"/>
      <c r="H212" s="93">
        <v>44645.470833333333</v>
      </c>
      <c r="I212" s="93">
        <v>44645.333333333336</v>
      </c>
    </row>
    <row r="213" spans="1:9" x14ac:dyDescent="0.25">
      <c r="A213" s="69">
        <v>179</v>
      </c>
      <c r="B213" s="95" t="s">
        <v>272</v>
      </c>
      <c r="C213" s="90">
        <v>52794173</v>
      </c>
      <c r="D213" s="90">
        <v>52789816</v>
      </c>
      <c r="E213" s="90" t="s">
        <v>170</v>
      </c>
      <c r="F213" s="92">
        <v>0</v>
      </c>
      <c r="G213" s="91"/>
      <c r="H213" s="93">
        <v>44645.481944444444</v>
      </c>
      <c r="I213" s="93">
        <v>44645.333333333336</v>
      </c>
    </row>
    <row r="214" spans="1:9" x14ac:dyDescent="0.25">
      <c r="A214" s="70">
        <v>180</v>
      </c>
      <c r="B214" s="95" t="s">
        <v>268</v>
      </c>
      <c r="C214" s="90">
        <v>52794174</v>
      </c>
      <c r="D214" s="90">
        <v>52789816</v>
      </c>
      <c r="E214" s="90" t="s">
        <v>170</v>
      </c>
      <c r="F214" s="92">
        <v>0</v>
      </c>
      <c r="G214" s="91"/>
      <c r="H214" s="93">
        <v>44645.470833333333</v>
      </c>
      <c r="I214" s="93">
        <v>44645.333333333336</v>
      </c>
    </row>
    <row r="215" spans="1:9" x14ac:dyDescent="0.25">
      <c r="A215" s="69">
        <v>181</v>
      </c>
      <c r="B215" s="95" t="s">
        <v>275</v>
      </c>
      <c r="C215" s="90">
        <v>52794177</v>
      </c>
      <c r="D215" s="90">
        <v>52789816</v>
      </c>
      <c r="E215" s="90" t="s">
        <v>170</v>
      </c>
      <c r="F215" s="92">
        <v>0</v>
      </c>
      <c r="G215" s="91"/>
      <c r="H215" s="93">
        <v>44645.470833333333</v>
      </c>
      <c r="I215" s="93">
        <v>44645.333333333336</v>
      </c>
    </row>
    <row r="216" spans="1:9" x14ac:dyDescent="0.25">
      <c r="A216" s="70">
        <v>182</v>
      </c>
      <c r="B216" s="95" t="s">
        <v>273</v>
      </c>
      <c r="C216" s="90">
        <v>52794178</v>
      </c>
      <c r="D216" s="90">
        <v>52789816</v>
      </c>
      <c r="E216" s="90" t="s">
        <v>111</v>
      </c>
      <c r="F216" s="92">
        <v>0</v>
      </c>
      <c r="G216" s="91"/>
      <c r="H216" s="93">
        <v>44645.333333333336</v>
      </c>
      <c r="I216" s="93">
        <v>44645.333333333336</v>
      </c>
    </row>
    <row r="217" spans="1:9" x14ac:dyDescent="0.25">
      <c r="A217" s="69">
        <v>183</v>
      </c>
      <c r="B217" s="95" t="s">
        <v>267</v>
      </c>
      <c r="C217" s="90">
        <v>52794184</v>
      </c>
      <c r="D217" s="90">
        <v>52789816</v>
      </c>
      <c r="E217" s="90" t="s">
        <v>108</v>
      </c>
      <c r="F217" s="92">
        <v>0</v>
      </c>
      <c r="G217" s="93">
        <v>44645.486111111109</v>
      </c>
      <c r="H217" s="93">
        <v>44645.486111111109</v>
      </c>
      <c r="I217" s="93">
        <v>44645.333333333336</v>
      </c>
    </row>
    <row r="218" spans="1:9" x14ac:dyDescent="0.25">
      <c r="A218" s="70">
        <v>184</v>
      </c>
      <c r="B218" s="95" t="s">
        <v>276</v>
      </c>
      <c r="C218" s="90">
        <v>52794183</v>
      </c>
      <c r="D218" s="90">
        <v>52789816</v>
      </c>
      <c r="E218" s="90" t="s">
        <v>108</v>
      </c>
      <c r="F218" s="92">
        <v>5.2083333333333333E-4</v>
      </c>
      <c r="G218" s="93">
        <v>44645.486111111109</v>
      </c>
      <c r="H218" s="93">
        <v>44645.486111111109</v>
      </c>
      <c r="I218" s="93">
        <v>44645.333333333336</v>
      </c>
    </row>
    <row r="219" spans="1:9" x14ac:dyDescent="0.25">
      <c r="A219" s="69">
        <v>185</v>
      </c>
      <c r="B219" s="95" t="s">
        <v>277</v>
      </c>
      <c r="C219" s="90">
        <v>52794182</v>
      </c>
      <c r="D219" s="90">
        <v>52789816</v>
      </c>
      <c r="E219" s="90" t="s">
        <v>108</v>
      </c>
      <c r="F219" s="92">
        <v>2.3148148148148147E-5</v>
      </c>
      <c r="G219" s="93">
        <v>44645.486111111109</v>
      </c>
      <c r="H219" s="93">
        <v>44645.486111111109</v>
      </c>
      <c r="I219" s="93">
        <v>44645.333333333336</v>
      </c>
    </row>
    <row r="220" spans="1:9" x14ac:dyDescent="0.25">
      <c r="A220" s="70">
        <v>186</v>
      </c>
      <c r="B220" s="95" t="s">
        <v>278</v>
      </c>
      <c r="C220" s="90">
        <v>52794181</v>
      </c>
      <c r="D220" s="90">
        <v>52789816</v>
      </c>
      <c r="E220" s="90" t="s">
        <v>108</v>
      </c>
      <c r="F220" s="92">
        <v>3.8194444444444443E-3</v>
      </c>
      <c r="G220" s="93">
        <v>44645.481944444444</v>
      </c>
      <c r="H220" s="93">
        <v>44645.486111111109</v>
      </c>
      <c r="I220" s="93">
        <v>44645.333333333336</v>
      </c>
    </row>
    <row r="221" spans="1:9" x14ac:dyDescent="0.25">
      <c r="A221" s="69">
        <v>187</v>
      </c>
      <c r="B221" s="95" t="s">
        <v>279</v>
      </c>
      <c r="C221" s="90">
        <v>52794180</v>
      </c>
      <c r="D221" s="90">
        <v>52789816</v>
      </c>
      <c r="E221" s="90" t="s">
        <v>108</v>
      </c>
      <c r="F221" s="92">
        <v>3.4722222222222224E-4</v>
      </c>
      <c r="G221" s="93">
        <v>44645.481944444444</v>
      </c>
      <c r="H221" s="93">
        <v>44645.481944444444</v>
      </c>
      <c r="I221" s="93">
        <v>44645.333333333336</v>
      </c>
    </row>
    <row r="222" spans="1:9" x14ac:dyDescent="0.25">
      <c r="A222" s="70">
        <v>188</v>
      </c>
      <c r="B222" s="95" t="s">
        <v>281</v>
      </c>
      <c r="C222" s="90">
        <v>52794166</v>
      </c>
      <c r="D222" s="90">
        <v>52789816</v>
      </c>
      <c r="E222" s="90" t="s">
        <v>170</v>
      </c>
      <c r="F222" s="92">
        <v>0</v>
      </c>
      <c r="G222" s="91"/>
      <c r="H222" s="93">
        <v>44645.470138888886</v>
      </c>
      <c r="I222" s="93">
        <v>44645.333333333336</v>
      </c>
    </row>
    <row r="223" spans="1:9" x14ac:dyDescent="0.25">
      <c r="A223" s="69">
        <v>189</v>
      </c>
      <c r="B223" s="95" t="s">
        <v>271</v>
      </c>
      <c r="C223" s="90">
        <v>52794167</v>
      </c>
      <c r="D223" s="90">
        <v>52789816</v>
      </c>
      <c r="E223" s="90" t="s">
        <v>170</v>
      </c>
      <c r="F223" s="92">
        <v>0</v>
      </c>
      <c r="G223" s="91"/>
      <c r="H223" s="93">
        <v>44645.470138888886</v>
      </c>
      <c r="I223" s="93">
        <v>44645.333333333336</v>
      </c>
    </row>
    <row r="224" spans="1:9" x14ac:dyDescent="0.25">
      <c r="A224" s="70">
        <v>190</v>
      </c>
      <c r="B224" s="95" t="s">
        <v>269</v>
      </c>
      <c r="C224" s="90">
        <v>52794168</v>
      </c>
      <c r="D224" s="90">
        <v>52789816</v>
      </c>
      <c r="E224" s="90" t="s">
        <v>170</v>
      </c>
      <c r="F224" s="92">
        <v>0</v>
      </c>
      <c r="G224" s="91"/>
      <c r="H224" s="93">
        <v>44645.470138888886</v>
      </c>
      <c r="I224" s="93">
        <v>44645.333333333336</v>
      </c>
    </row>
    <row r="225" spans="1:9" x14ac:dyDescent="0.25">
      <c r="A225" s="69">
        <v>191</v>
      </c>
      <c r="B225" s="95" t="s">
        <v>280</v>
      </c>
      <c r="C225" s="90">
        <v>52794154</v>
      </c>
      <c r="D225" s="90">
        <v>52789816</v>
      </c>
      <c r="E225" s="90" t="s">
        <v>111</v>
      </c>
      <c r="F225" s="92">
        <v>0</v>
      </c>
      <c r="G225" s="91"/>
      <c r="H225" s="93">
        <v>44645.333333333336</v>
      </c>
      <c r="I225" s="93">
        <v>44645.333333333336</v>
      </c>
    </row>
    <row r="226" spans="1:9" x14ac:dyDescent="0.25">
      <c r="A226" s="70">
        <v>192</v>
      </c>
      <c r="B226" s="95" t="s">
        <v>282</v>
      </c>
      <c r="C226" s="90">
        <v>52794160</v>
      </c>
      <c r="D226" s="90">
        <v>52789816</v>
      </c>
      <c r="E226" s="90" t="s">
        <v>111</v>
      </c>
      <c r="F226" s="92">
        <v>0</v>
      </c>
      <c r="G226" s="91"/>
      <c r="H226" s="93">
        <v>44645.333333333336</v>
      </c>
      <c r="I226" s="93">
        <v>44645.333333333336</v>
      </c>
    </row>
    <row r="227" spans="1:9" x14ac:dyDescent="0.25">
      <c r="A227" s="69">
        <v>193</v>
      </c>
      <c r="B227" s="95" t="s">
        <v>284</v>
      </c>
      <c r="C227" s="90">
        <v>52794163</v>
      </c>
      <c r="D227" s="90">
        <v>52789816</v>
      </c>
      <c r="E227" s="90" t="s">
        <v>111</v>
      </c>
      <c r="F227" s="92">
        <v>0</v>
      </c>
      <c r="G227" s="91"/>
      <c r="H227" s="93">
        <v>44645.333333333336</v>
      </c>
      <c r="I227" s="93">
        <v>44645.333333333336</v>
      </c>
    </row>
    <row r="228" spans="1:9" x14ac:dyDescent="0.25">
      <c r="A228" s="70">
        <v>194</v>
      </c>
      <c r="B228" s="95" t="s">
        <v>270</v>
      </c>
      <c r="C228" s="90">
        <v>52794169</v>
      </c>
      <c r="D228" s="90">
        <v>52789816</v>
      </c>
      <c r="E228" s="90" t="s">
        <v>108</v>
      </c>
      <c r="F228" s="92">
        <v>1.0763888888888889E-3</v>
      </c>
      <c r="G228" s="93">
        <v>44645.470138888886</v>
      </c>
      <c r="H228" s="93">
        <v>44645.470833333333</v>
      </c>
      <c r="I228" s="93">
        <v>44645.333333333336</v>
      </c>
    </row>
    <row r="229" spans="1:9" x14ac:dyDescent="0.25">
      <c r="A229" s="69">
        <v>195</v>
      </c>
      <c r="B229" s="95" t="s">
        <v>286</v>
      </c>
      <c r="C229" s="90">
        <v>52794157</v>
      </c>
      <c r="D229" s="90">
        <v>52789816</v>
      </c>
      <c r="E229" s="90" t="s">
        <v>108</v>
      </c>
      <c r="F229" s="92">
        <v>3.4722222222222224E-4</v>
      </c>
      <c r="G229" s="93">
        <v>44645.469444444447</v>
      </c>
      <c r="H229" s="93">
        <v>44645.470138888886</v>
      </c>
      <c r="I229" s="93">
        <v>44645.333333333336</v>
      </c>
    </row>
    <row r="230" spans="1:9" x14ac:dyDescent="0.25">
      <c r="A230" s="70">
        <v>196</v>
      </c>
      <c r="B230" s="95" t="s">
        <v>287</v>
      </c>
      <c r="C230" s="90">
        <v>52794165</v>
      </c>
      <c r="D230" s="90">
        <v>52789816</v>
      </c>
      <c r="E230" s="90" t="s">
        <v>108</v>
      </c>
      <c r="F230" s="92">
        <v>3.5879629629629635E-4</v>
      </c>
      <c r="G230" s="93">
        <v>44645.469444444447</v>
      </c>
      <c r="H230" s="93">
        <v>44645.470138888886</v>
      </c>
      <c r="I230" s="93">
        <v>44645.333333333336</v>
      </c>
    </row>
    <row r="231" spans="1:9" x14ac:dyDescent="0.25">
      <c r="A231" s="69">
        <v>197</v>
      </c>
      <c r="B231" s="95" t="s">
        <v>290</v>
      </c>
      <c r="C231" s="90">
        <v>52794153</v>
      </c>
      <c r="D231" s="90">
        <v>52789816</v>
      </c>
      <c r="E231" s="90" t="s">
        <v>108</v>
      </c>
      <c r="F231" s="92">
        <v>3.4722222222222224E-4</v>
      </c>
      <c r="G231" s="93">
        <v>44645.469444444447</v>
      </c>
      <c r="H231" s="93">
        <v>44645.469444444447</v>
      </c>
      <c r="I231" s="93">
        <v>44645.333333333336</v>
      </c>
    </row>
    <row r="232" spans="1:9" x14ac:dyDescent="0.25">
      <c r="A232" s="70">
        <v>198</v>
      </c>
      <c r="B232" s="95" t="s">
        <v>289</v>
      </c>
      <c r="C232" s="90">
        <v>52794156</v>
      </c>
      <c r="D232" s="90">
        <v>52789816</v>
      </c>
      <c r="E232" s="90" t="s">
        <v>108</v>
      </c>
      <c r="F232" s="92">
        <v>3.4722222222222224E-4</v>
      </c>
      <c r="G232" s="93">
        <v>44645.469444444447</v>
      </c>
      <c r="H232" s="93">
        <v>44645.469444444447</v>
      </c>
      <c r="I232" s="93">
        <v>44645.333333333336</v>
      </c>
    </row>
    <row r="233" spans="1:9" x14ac:dyDescent="0.25">
      <c r="A233" s="69">
        <v>199</v>
      </c>
      <c r="B233" s="95" t="s">
        <v>291</v>
      </c>
      <c r="C233" s="90">
        <v>52794152</v>
      </c>
      <c r="D233" s="90">
        <v>52789816</v>
      </c>
      <c r="E233" s="90" t="s">
        <v>108</v>
      </c>
      <c r="F233" s="92">
        <v>3.4722222222222224E-4</v>
      </c>
      <c r="G233" s="93">
        <v>44645.46875</v>
      </c>
      <c r="H233" s="93">
        <v>44645.469444444447</v>
      </c>
      <c r="I233" s="93">
        <v>44645.333333333336</v>
      </c>
    </row>
    <row r="234" spans="1:9" x14ac:dyDescent="0.25">
      <c r="A234" s="70">
        <v>200</v>
      </c>
      <c r="B234" s="95" t="s">
        <v>292</v>
      </c>
      <c r="C234" s="90">
        <v>52794155</v>
      </c>
      <c r="D234" s="90">
        <v>52789816</v>
      </c>
      <c r="E234" s="90" t="s">
        <v>108</v>
      </c>
      <c r="F234" s="92">
        <v>3.5879629629629635E-4</v>
      </c>
      <c r="G234" s="93">
        <v>44645.46875</v>
      </c>
      <c r="H234" s="93">
        <v>44645.469444444447</v>
      </c>
      <c r="I234" s="93">
        <v>44645.333333333336</v>
      </c>
    </row>
    <row r="235" spans="1:9" x14ac:dyDescent="0.25">
      <c r="A235" s="69">
        <v>201</v>
      </c>
      <c r="B235" s="95" t="s">
        <v>81</v>
      </c>
      <c r="C235" s="90">
        <v>52794159</v>
      </c>
      <c r="D235" s="90">
        <v>52789816</v>
      </c>
      <c r="E235" s="90" t="s">
        <v>108</v>
      </c>
      <c r="F235" s="92">
        <v>4.3981481481481481E-4</v>
      </c>
      <c r="G235" s="93">
        <v>44645.46875</v>
      </c>
      <c r="H235" s="93">
        <v>44645.469444444447</v>
      </c>
      <c r="I235" s="93">
        <v>44645.333333333336</v>
      </c>
    </row>
    <row r="236" spans="1:9" x14ac:dyDescent="0.25">
      <c r="A236" s="70">
        <v>202</v>
      </c>
      <c r="B236" s="95" t="s">
        <v>293</v>
      </c>
      <c r="C236" s="90">
        <v>52794164</v>
      </c>
      <c r="D236" s="90">
        <v>52789816</v>
      </c>
      <c r="E236" s="90" t="s">
        <v>108</v>
      </c>
      <c r="F236" s="92">
        <v>1.4004629629629629E-3</v>
      </c>
      <c r="G236" s="93">
        <v>44645.46875</v>
      </c>
      <c r="H236" s="93">
        <v>44645.470138888886</v>
      </c>
      <c r="I236" s="93">
        <v>44645.333333333336</v>
      </c>
    </row>
    <row r="237" spans="1:9" x14ac:dyDescent="0.25">
      <c r="A237" s="69">
        <v>203</v>
      </c>
      <c r="B237" s="95" t="s">
        <v>295</v>
      </c>
      <c r="C237" s="90">
        <v>52794158</v>
      </c>
      <c r="D237" s="90">
        <v>52789816</v>
      </c>
      <c r="E237" s="90" t="s">
        <v>108</v>
      </c>
      <c r="F237" s="92">
        <v>6.9444444444444447E-4</v>
      </c>
      <c r="G237" s="93">
        <v>44645.468055555553</v>
      </c>
      <c r="H237" s="93">
        <v>44645.46875</v>
      </c>
      <c r="I237" s="93">
        <v>44645.333333333336</v>
      </c>
    </row>
    <row r="238" spans="1:9" x14ac:dyDescent="0.25">
      <c r="A238" s="70">
        <v>204</v>
      </c>
      <c r="B238" s="95" t="s">
        <v>294</v>
      </c>
      <c r="C238" s="90">
        <v>52794161</v>
      </c>
      <c r="D238" s="90">
        <v>52789816</v>
      </c>
      <c r="E238" s="90" t="s">
        <v>108</v>
      </c>
      <c r="F238" s="92">
        <v>3.4722222222222224E-4</v>
      </c>
      <c r="G238" s="93">
        <v>44645.468055555553</v>
      </c>
      <c r="H238" s="93">
        <v>44645.46875</v>
      </c>
      <c r="I238" s="93">
        <v>44645.333333333336</v>
      </c>
    </row>
    <row r="239" spans="1:9" x14ac:dyDescent="0.25">
      <c r="A239" s="69">
        <v>205</v>
      </c>
      <c r="B239" s="95" t="s">
        <v>82</v>
      </c>
      <c r="C239" s="90">
        <v>52794162</v>
      </c>
      <c r="D239" s="90">
        <v>52789816</v>
      </c>
      <c r="E239" s="90" t="s">
        <v>108</v>
      </c>
      <c r="F239" s="92">
        <v>1.3541666666666667E-2</v>
      </c>
      <c r="G239" s="93">
        <v>44645.468055555553</v>
      </c>
      <c r="H239" s="93">
        <v>44645.481944444444</v>
      </c>
      <c r="I239" s="93">
        <v>44645.333333333336</v>
      </c>
    </row>
    <row r="240" spans="1:9" x14ac:dyDescent="0.25">
      <c r="A240" s="70">
        <v>206</v>
      </c>
      <c r="B240" s="95" t="s">
        <v>283</v>
      </c>
      <c r="C240" s="90">
        <v>52794150</v>
      </c>
      <c r="D240" s="90">
        <v>52789816</v>
      </c>
      <c r="E240" s="90" t="s">
        <v>170</v>
      </c>
      <c r="F240" s="92">
        <v>0</v>
      </c>
      <c r="G240" s="91"/>
      <c r="H240" s="93">
        <v>44645.46875</v>
      </c>
      <c r="I240" s="93">
        <v>44645.333333333336</v>
      </c>
    </row>
    <row r="241" spans="1:9" x14ac:dyDescent="0.25">
      <c r="A241" s="69">
        <v>207</v>
      </c>
      <c r="B241" s="95" t="s">
        <v>285</v>
      </c>
      <c r="C241" s="90">
        <v>52794151</v>
      </c>
      <c r="D241" s="90">
        <v>52789816</v>
      </c>
      <c r="E241" s="90" t="s">
        <v>170</v>
      </c>
      <c r="F241" s="92">
        <v>0</v>
      </c>
      <c r="G241" s="91"/>
      <c r="H241" s="93">
        <v>44645.46875</v>
      </c>
      <c r="I241" s="93">
        <v>44645.333333333336</v>
      </c>
    </row>
    <row r="242" spans="1:9" x14ac:dyDescent="0.25">
      <c r="A242" s="70">
        <v>208</v>
      </c>
      <c r="B242" s="95" t="s">
        <v>299</v>
      </c>
      <c r="C242" s="90">
        <v>52789817</v>
      </c>
      <c r="D242" s="90">
        <v>52789816</v>
      </c>
      <c r="E242" s="90" t="s">
        <v>111</v>
      </c>
      <c r="F242" s="92">
        <v>0</v>
      </c>
      <c r="G242" s="91"/>
      <c r="H242" s="93">
        <v>44645.333333333336</v>
      </c>
      <c r="I242" s="93">
        <v>44645.333333333336</v>
      </c>
    </row>
    <row r="243" spans="1:9" x14ac:dyDescent="0.25">
      <c r="A243" s="69">
        <v>209</v>
      </c>
      <c r="B243" s="95" t="s">
        <v>298</v>
      </c>
      <c r="C243" s="90">
        <v>52789819</v>
      </c>
      <c r="D243" s="90">
        <v>52789816</v>
      </c>
      <c r="E243" s="90" t="s">
        <v>111</v>
      </c>
      <c r="F243" s="92">
        <v>0</v>
      </c>
      <c r="G243" s="91"/>
      <c r="H243" s="93">
        <v>44645.333333333336</v>
      </c>
      <c r="I243" s="93">
        <v>44645.333333333336</v>
      </c>
    </row>
    <row r="244" spans="1:9" x14ac:dyDescent="0.25">
      <c r="A244" s="70">
        <v>210</v>
      </c>
      <c r="B244" s="95" t="s">
        <v>300</v>
      </c>
      <c r="C244" s="90">
        <v>52794144</v>
      </c>
      <c r="D244" s="90">
        <v>52789816</v>
      </c>
      <c r="E244" s="90" t="s">
        <v>111</v>
      </c>
      <c r="F244" s="92">
        <v>0</v>
      </c>
      <c r="G244" s="91"/>
      <c r="H244" s="93">
        <v>44645.333333333336</v>
      </c>
      <c r="I244" s="93">
        <v>44645.333333333336</v>
      </c>
    </row>
    <row r="245" spans="1:9" x14ac:dyDescent="0.25">
      <c r="A245" s="69">
        <v>211</v>
      </c>
      <c r="B245" s="95" t="s">
        <v>297</v>
      </c>
      <c r="C245" s="90">
        <v>52789821</v>
      </c>
      <c r="D245" s="90">
        <v>52789816</v>
      </c>
      <c r="E245" s="90" t="s">
        <v>111</v>
      </c>
      <c r="F245" s="92">
        <v>0</v>
      </c>
      <c r="G245" s="91"/>
      <c r="H245" s="93">
        <v>44645.333333333336</v>
      </c>
      <c r="I245" s="93">
        <v>44645.333333333336</v>
      </c>
    </row>
    <row r="246" spans="1:9" x14ac:dyDescent="0.25">
      <c r="A246" s="70">
        <v>212</v>
      </c>
      <c r="B246" s="95" t="s">
        <v>296</v>
      </c>
      <c r="C246" s="90">
        <v>52794147</v>
      </c>
      <c r="D246" s="90">
        <v>52789816</v>
      </c>
      <c r="E246" s="90" t="s">
        <v>170</v>
      </c>
      <c r="F246" s="92">
        <v>0</v>
      </c>
      <c r="G246" s="91"/>
      <c r="H246" s="93">
        <v>44645.46875</v>
      </c>
      <c r="I246" s="93">
        <v>44645.333333333336</v>
      </c>
    </row>
    <row r="247" spans="1:9" x14ac:dyDescent="0.25">
      <c r="A247" s="69">
        <v>213</v>
      </c>
      <c r="B247" s="95" t="s">
        <v>288</v>
      </c>
      <c r="C247" s="90">
        <v>52794149</v>
      </c>
      <c r="D247" s="90">
        <v>52789816</v>
      </c>
      <c r="E247" s="90" t="s">
        <v>108</v>
      </c>
      <c r="F247" s="92">
        <v>3.4722222222222224E-4</v>
      </c>
      <c r="G247" s="93">
        <v>44645.469444444447</v>
      </c>
      <c r="H247" s="93">
        <v>44645.470138888886</v>
      </c>
      <c r="I247" s="93">
        <v>44645.333333333336</v>
      </c>
    </row>
    <row r="248" spans="1:9" x14ac:dyDescent="0.25">
      <c r="A248" s="70">
        <v>214</v>
      </c>
      <c r="B248" s="95" t="s">
        <v>301</v>
      </c>
      <c r="C248" s="90">
        <v>52794148</v>
      </c>
      <c r="D248" s="90">
        <v>52789816</v>
      </c>
      <c r="E248" s="90" t="s">
        <v>108</v>
      </c>
      <c r="F248" s="92">
        <v>3.4722222222222224E-4</v>
      </c>
      <c r="G248" s="93">
        <v>44645.469444444447</v>
      </c>
      <c r="H248" s="93">
        <v>44645.469444444447</v>
      </c>
      <c r="I248" s="93">
        <v>44645.333333333336</v>
      </c>
    </row>
    <row r="249" spans="1:9" x14ac:dyDescent="0.25">
      <c r="A249" s="69">
        <v>215</v>
      </c>
      <c r="B249" s="95" t="s">
        <v>302</v>
      </c>
      <c r="C249" s="90">
        <v>52794146</v>
      </c>
      <c r="D249" s="90">
        <v>52789816</v>
      </c>
      <c r="E249" s="90" t="s">
        <v>108</v>
      </c>
      <c r="F249" s="92">
        <v>3.4722222222222224E-4</v>
      </c>
      <c r="G249" s="93">
        <v>44645.46875</v>
      </c>
      <c r="H249" s="93">
        <v>44645.469444444447</v>
      </c>
      <c r="I249" s="93">
        <v>44645.333333333336</v>
      </c>
    </row>
    <row r="250" spans="1:9" x14ac:dyDescent="0.25">
      <c r="A250" s="70">
        <v>216</v>
      </c>
      <c r="B250" s="95" t="s">
        <v>303</v>
      </c>
      <c r="C250" s="90">
        <v>52794145</v>
      </c>
      <c r="D250" s="90">
        <v>52789816</v>
      </c>
      <c r="E250" s="90" t="s">
        <v>108</v>
      </c>
      <c r="F250" s="92">
        <v>3.5879629629629635E-4</v>
      </c>
      <c r="G250" s="93">
        <v>44645.46875</v>
      </c>
      <c r="H250" s="93">
        <v>44645.46875</v>
      </c>
      <c r="I250" s="93">
        <v>44645.333333333336</v>
      </c>
    </row>
    <row r="251" spans="1:9" x14ac:dyDescent="0.25">
      <c r="A251" s="69">
        <v>217</v>
      </c>
      <c r="B251" s="95" t="s">
        <v>304</v>
      </c>
      <c r="C251" s="90">
        <v>52789822</v>
      </c>
      <c r="D251" s="90">
        <v>52789816</v>
      </c>
      <c r="E251" s="90" t="s">
        <v>108</v>
      </c>
      <c r="F251" s="92">
        <v>6.9444444444444447E-4</v>
      </c>
      <c r="G251" s="93">
        <v>44645.468055555553</v>
      </c>
      <c r="H251" s="93">
        <v>44645.46875</v>
      </c>
      <c r="I251" s="93">
        <v>44645.333333333336</v>
      </c>
    </row>
    <row r="252" spans="1:9" x14ac:dyDescent="0.25">
      <c r="A252" s="70">
        <v>218</v>
      </c>
      <c r="B252" s="95" t="s">
        <v>307</v>
      </c>
      <c r="C252" s="90">
        <v>52789825</v>
      </c>
      <c r="D252" s="90">
        <v>52789816</v>
      </c>
      <c r="E252" s="90" t="s">
        <v>108</v>
      </c>
      <c r="F252" s="92">
        <v>3.5879629629629635E-4</v>
      </c>
      <c r="G252" s="93">
        <v>44645.468055555553</v>
      </c>
      <c r="H252" s="93">
        <v>44645.46875</v>
      </c>
      <c r="I252" s="93">
        <v>44645.333333333336</v>
      </c>
    </row>
    <row r="253" spans="1:9" x14ac:dyDescent="0.25">
      <c r="A253" s="69">
        <v>219</v>
      </c>
      <c r="B253" s="95" t="s">
        <v>305</v>
      </c>
      <c r="C253" s="90">
        <v>52794143</v>
      </c>
      <c r="D253" s="90">
        <v>52789816</v>
      </c>
      <c r="E253" s="90" t="s">
        <v>108</v>
      </c>
      <c r="F253" s="92">
        <v>3.5879629629629635E-4</v>
      </c>
      <c r="G253" s="93">
        <v>44645.468055555553</v>
      </c>
      <c r="H253" s="93">
        <v>44645.46875</v>
      </c>
      <c r="I253" s="93">
        <v>44645.333333333336</v>
      </c>
    </row>
    <row r="254" spans="1:9" x14ac:dyDescent="0.25">
      <c r="A254" s="70">
        <v>220</v>
      </c>
      <c r="B254" s="95" t="s">
        <v>306</v>
      </c>
      <c r="C254" s="90">
        <v>52789823</v>
      </c>
      <c r="D254" s="90">
        <v>52789816</v>
      </c>
      <c r="E254" s="90" t="s">
        <v>108</v>
      </c>
      <c r="F254" s="92">
        <v>3.4722222222222224E-4</v>
      </c>
      <c r="G254" s="93">
        <v>44645.468055555553</v>
      </c>
      <c r="H254" s="93">
        <v>44645.46875</v>
      </c>
      <c r="I254" s="93">
        <v>44645.333333333336</v>
      </c>
    </row>
    <row r="255" spans="1:9" x14ac:dyDescent="0.25">
      <c r="A255" s="69">
        <v>221</v>
      </c>
      <c r="B255" s="95" t="s">
        <v>308</v>
      </c>
      <c r="C255" s="90">
        <v>52789824</v>
      </c>
      <c r="D255" s="90">
        <v>52789816</v>
      </c>
      <c r="E255" s="90" t="s">
        <v>108</v>
      </c>
      <c r="F255" s="92">
        <v>3.4722222222222224E-4</v>
      </c>
      <c r="G255" s="93">
        <v>44645.468055555553</v>
      </c>
      <c r="H255" s="93">
        <v>44645.46875</v>
      </c>
      <c r="I255" s="93">
        <v>44645.333333333336</v>
      </c>
    </row>
    <row r="256" spans="1:9" x14ac:dyDescent="0.25">
      <c r="A256" s="70">
        <v>222</v>
      </c>
      <c r="B256" s="95" t="s">
        <v>310</v>
      </c>
      <c r="C256" s="90">
        <v>52789820</v>
      </c>
      <c r="D256" s="90">
        <v>52789816</v>
      </c>
      <c r="E256" s="90" t="s">
        <v>108</v>
      </c>
      <c r="F256" s="92">
        <v>1.736111111111111E-3</v>
      </c>
      <c r="G256" s="93">
        <v>44645.466666666667</v>
      </c>
      <c r="H256" s="93">
        <v>44645.468055555553</v>
      </c>
      <c r="I256" s="93">
        <v>44645.333333333336</v>
      </c>
    </row>
    <row r="257" spans="1:9" x14ac:dyDescent="0.25">
      <c r="A257" s="69">
        <v>223</v>
      </c>
      <c r="B257" s="95" t="s">
        <v>309</v>
      </c>
      <c r="C257" s="90">
        <v>52789818</v>
      </c>
      <c r="D257" s="90">
        <v>52789816</v>
      </c>
      <c r="E257" s="90" t="s">
        <v>108</v>
      </c>
      <c r="F257" s="92">
        <v>3.4722222222222224E-4</v>
      </c>
      <c r="G257" s="93">
        <v>44645.466666666667</v>
      </c>
      <c r="H257" s="93">
        <v>44645.466666666667</v>
      </c>
      <c r="I257" s="93">
        <v>44645.333333333336</v>
      </c>
    </row>
    <row r="258" spans="1:9" x14ac:dyDescent="0.25">
      <c r="A258" s="70">
        <v>224</v>
      </c>
      <c r="B258" s="94" t="s">
        <v>313</v>
      </c>
      <c r="C258" s="90">
        <v>52789796</v>
      </c>
      <c r="D258" s="90">
        <v>52789795</v>
      </c>
      <c r="E258" s="90" t="s">
        <v>170</v>
      </c>
      <c r="F258" s="92">
        <v>0</v>
      </c>
      <c r="G258" s="91"/>
      <c r="H258" s="93">
        <v>44645.466666666667</v>
      </c>
      <c r="I258" s="93">
        <v>44645.333333333336</v>
      </c>
    </row>
    <row r="259" spans="1:9" x14ac:dyDescent="0.25">
      <c r="A259" s="69">
        <v>225</v>
      </c>
      <c r="B259" s="94" t="s">
        <v>314</v>
      </c>
      <c r="C259" s="90">
        <v>52789797</v>
      </c>
      <c r="D259" s="90">
        <v>52789795</v>
      </c>
      <c r="E259" s="90" t="s">
        <v>108</v>
      </c>
      <c r="F259" s="92">
        <v>1.0416666666666667E-3</v>
      </c>
      <c r="G259" s="93">
        <v>44645.466666666667</v>
      </c>
      <c r="H259" s="93">
        <v>44645.467361111114</v>
      </c>
      <c r="I259" s="93">
        <v>44645.333333333336</v>
      </c>
    </row>
    <row r="260" spans="1:9" x14ac:dyDescent="0.25">
      <c r="A260" s="70">
        <v>226</v>
      </c>
      <c r="B260" s="94" t="s">
        <v>315</v>
      </c>
      <c r="C260" s="90">
        <v>52789798</v>
      </c>
      <c r="D260" s="90">
        <v>52789795</v>
      </c>
      <c r="E260" s="90" t="s">
        <v>108</v>
      </c>
      <c r="F260" s="92">
        <v>6.6898148148148142E-3</v>
      </c>
      <c r="G260" s="93">
        <v>44645.466666666667</v>
      </c>
      <c r="H260" s="93">
        <v>44645.472916666666</v>
      </c>
      <c r="I260" s="93">
        <v>44645.333333333336</v>
      </c>
    </row>
    <row r="261" spans="1:9" x14ac:dyDescent="0.25">
      <c r="A261" s="69">
        <v>227</v>
      </c>
      <c r="B261" s="89" t="s">
        <v>84</v>
      </c>
      <c r="C261" s="90">
        <v>52794186</v>
      </c>
      <c r="D261" s="90">
        <v>52794056</v>
      </c>
      <c r="E261" s="90" t="s">
        <v>108</v>
      </c>
      <c r="F261" s="92">
        <v>6.4236111111111105E-2</v>
      </c>
      <c r="G261" s="93">
        <v>44645.486805555556</v>
      </c>
      <c r="H261" s="93">
        <v>44645.550694444442</v>
      </c>
      <c r="I261" s="93">
        <v>44645.333333333336</v>
      </c>
    </row>
    <row r="262" spans="1:9" x14ac:dyDescent="0.25">
      <c r="A262" s="70">
        <v>228</v>
      </c>
      <c r="B262" s="94" t="s">
        <v>319</v>
      </c>
      <c r="C262" s="90">
        <v>52791822</v>
      </c>
      <c r="D262" s="90">
        <v>52794186</v>
      </c>
      <c r="E262" s="90" t="s">
        <v>111</v>
      </c>
      <c r="F262" s="92">
        <v>0</v>
      </c>
      <c r="G262" s="91"/>
      <c r="H262" s="93">
        <v>44645.333333333336</v>
      </c>
      <c r="I262" s="93">
        <v>44645.333333333336</v>
      </c>
    </row>
    <row r="263" spans="1:9" x14ac:dyDescent="0.25">
      <c r="A263" s="69">
        <v>229</v>
      </c>
      <c r="B263" s="94" t="s">
        <v>320</v>
      </c>
      <c r="C263" s="90">
        <v>52791819</v>
      </c>
      <c r="D263" s="90">
        <v>52794186</v>
      </c>
      <c r="E263" s="90" t="s">
        <v>111</v>
      </c>
      <c r="F263" s="92">
        <v>0</v>
      </c>
      <c r="G263" s="91"/>
      <c r="H263" s="93">
        <v>44645.333333333336</v>
      </c>
      <c r="I263" s="93">
        <v>44645.333333333336</v>
      </c>
    </row>
    <row r="264" spans="1:9" x14ac:dyDescent="0.25">
      <c r="A264" s="70">
        <v>230</v>
      </c>
      <c r="B264" s="94" t="s">
        <v>318</v>
      </c>
      <c r="C264" s="90">
        <v>52791823</v>
      </c>
      <c r="D264" s="90">
        <v>52794186</v>
      </c>
      <c r="E264" s="90" t="s">
        <v>111</v>
      </c>
      <c r="F264" s="92">
        <v>0</v>
      </c>
      <c r="G264" s="91"/>
      <c r="H264" s="93">
        <v>44645.333333333336</v>
      </c>
      <c r="I264" s="93">
        <v>44645.333333333336</v>
      </c>
    </row>
    <row r="265" spans="1:9" x14ac:dyDescent="0.25">
      <c r="A265" s="69">
        <v>231</v>
      </c>
      <c r="B265" s="94" t="s">
        <v>316</v>
      </c>
      <c r="C265" s="90">
        <v>52791818</v>
      </c>
      <c r="D265" s="90">
        <v>52794186</v>
      </c>
      <c r="E265" s="90" t="s">
        <v>111</v>
      </c>
      <c r="F265" s="92">
        <v>0</v>
      </c>
      <c r="G265" s="91"/>
      <c r="H265" s="93">
        <v>44645.333333333336</v>
      </c>
      <c r="I265" s="93">
        <v>44645.333333333336</v>
      </c>
    </row>
    <row r="266" spans="1:9" x14ac:dyDescent="0.25">
      <c r="A266" s="70">
        <v>232</v>
      </c>
      <c r="B266" s="94" t="s">
        <v>321</v>
      </c>
      <c r="C266" s="90">
        <v>52791824</v>
      </c>
      <c r="D266" s="90">
        <v>52794186</v>
      </c>
      <c r="E266" s="90" t="s">
        <v>111</v>
      </c>
      <c r="F266" s="92">
        <v>0</v>
      </c>
      <c r="G266" s="91"/>
      <c r="H266" s="93">
        <v>44645.333333333336</v>
      </c>
      <c r="I266" s="93">
        <v>44645.333333333336</v>
      </c>
    </row>
    <row r="267" spans="1:9" x14ac:dyDescent="0.25">
      <c r="A267" s="69">
        <v>233</v>
      </c>
      <c r="B267" s="94" t="s">
        <v>317</v>
      </c>
      <c r="C267" s="90">
        <v>52791820</v>
      </c>
      <c r="D267" s="90">
        <v>52794186</v>
      </c>
      <c r="E267" s="90" t="s">
        <v>111</v>
      </c>
      <c r="F267" s="92">
        <v>0</v>
      </c>
      <c r="G267" s="91"/>
      <c r="H267" s="93">
        <v>44645.333333333336</v>
      </c>
      <c r="I267" s="93">
        <v>44645.333333333336</v>
      </c>
    </row>
    <row r="268" spans="1:9" x14ac:dyDescent="0.25">
      <c r="A268" s="70">
        <v>234</v>
      </c>
      <c r="B268" s="94" t="s">
        <v>322</v>
      </c>
      <c r="C268" s="90">
        <v>52791821</v>
      </c>
      <c r="D268" s="90">
        <v>52794186</v>
      </c>
      <c r="E268" s="90" t="s">
        <v>108</v>
      </c>
      <c r="F268" s="92">
        <v>3.472222222222222E-3</v>
      </c>
      <c r="G268" s="93">
        <v>44645.547222222223</v>
      </c>
      <c r="H268" s="93">
        <v>44645.550694444442</v>
      </c>
      <c r="I268" s="93">
        <v>44645.333333333336</v>
      </c>
    </row>
    <row r="269" spans="1:9" x14ac:dyDescent="0.25">
      <c r="A269" s="69">
        <v>235</v>
      </c>
      <c r="B269" s="94" t="s">
        <v>323</v>
      </c>
      <c r="C269" s="90">
        <v>52791817</v>
      </c>
      <c r="D269" s="90">
        <v>52794186</v>
      </c>
      <c r="E269" s="90" t="s">
        <v>108</v>
      </c>
      <c r="F269" s="92">
        <v>7.0601851851851847E-4</v>
      </c>
      <c r="G269" s="93">
        <v>44645.490972222222</v>
      </c>
      <c r="H269" s="93">
        <v>44645.491666666669</v>
      </c>
      <c r="I269" s="93">
        <v>44645.333333333336</v>
      </c>
    </row>
    <row r="270" spans="1:9" x14ac:dyDescent="0.25">
      <c r="A270" s="70">
        <v>236</v>
      </c>
      <c r="B270" s="94" t="s">
        <v>324</v>
      </c>
      <c r="C270" s="90">
        <v>52791816</v>
      </c>
      <c r="D270" s="90">
        <v>52794186</v>
      </c>
      <c r="E270" s="90" t="s">
        <v>108</v>
      </c>
      <c r="F270" s="92">
        <v>6.018518518518519E-4</v>
      </c>
      <c r="G270" s="93">
        <v>44645.490972222222</v>
      </c>
      <c r="H270" s="93">
        <v>44645.490972222222</v>
      </c>
      <c r="I270" s="93">
        <v>44645.333333333336</v>
      </c>
    </row>
    <row r="271" spans="1:9" x14ac:dyDescent="0.25">
      <c r="A271" s="69">
        <v>237</v>
      </c>
      <c r="B271" s="94" t="s">
        <v>337</v>
      </c>
      <c r="C271" s="90">
        <v>52791815</v>
      </c>
      <c r="D271" s="90">
        <v>52794186</v>
      </c>
      <c r="E271" s="90" t="s">
        <v>108</v>
      </c>
      <c r="F271" s="92">
        <v>6.9444444444444447E-4</v>
      </c>
      <c r="G271" s="93">
        <v>44645.490277777775</v>
      </c>
      <c r="H271" s="93">
        <v>44645.490972222222</v>
      </c>
      <c r="I271" s="93">
        <v>44645.333333333336</v>
      </c>
    </row>
    <row r="272" spans="1:9" x14ac:dyDescent="0.25">
      <c r="A272" s="70">
        <v>238</v>
      </c>
      <c r="B272" s="94" t="s">
        <v>338</v>
      </c>
      <c r="C272" s="90">
        <v>52791814</v>
      </c>
      <c r="D272" s="90">
        <v>52794186</v>
      </c>
      <c r="E272" s="90" t="s">
        <v>108</v>
      </c>
      <c r="F272" s="92">
        <v>7.0601851851851847E-4</v>
      </c>
      <c r="G272" s="93">
        <v>44645.489583333336</v>
      </c>
      <c r="H272" s="93">
        <v>44645.490277777775</v>
      </c>
      <c r="I272" s="93">
        <v>44645.333333333336</v>
      </c>
    </row>
    <row r="273" spans="1:9" x14ac:dyDescent="0.25">
      <c r="A273" s="69">
        <v>239</v>
      </c>
      <c r="B273" s="94" t="s">
        <v>339</v>
      </c>
      <c r="C273" s="90">
        <v>52792895</v>
      </c>
      <c r="D273" s="90">
        <v>52794186</v>
      </c>
      <c r="E273" s="90" t="s">
        <v>108</v>
      </c>
      <c r="F273" s="92">
        <v>2.0833333333333333E-3</v>
      </c>
      <c r="G273" s="93">
        <v>44645.487500000003</v>
      </c>
      <c r="H273" s="93">
        <v>44645.489583333336</v>
      </c>
      <c r="I273" s="93">
        <v>44645.333333333336</v>
      </c>
    </row>
    <row r="274" spans="1:9" x14ac:dyDescent="0.25">
      <c r="A274" s="70">
        <v>240</v>
      </c>
      <c r="B274" s="94" t="s">
        <v>340</v>
      </c>
      <c r="C274" s="90">
        <v>52794189</v>
      </c>
      <c r="D274" s="90">
        <v>52794186</v>
      </c>
      <c r="E274" s="90" t="s">
        <v>108</v>
      </c>
      <c r="F274" s="92">
        <v>3.4722222222222224E-4</v>
      </c>
      <c r="G274" s="93">
        <v>44645.486805555556</v>
      </c>
      <c r="H274" s="93">
        <v>44645.487500000003</v>
      </c>
      <c r="I274" s="93">
        <v>44645.333333333336</v>
      </c>
    </row>
    <row r="275" spans="1:9" x14ac:dyDescent="0.25">
      <c r="A275" s="69">
        <v>241</v>
      </c>
      <c r="B275" s="94" t="s">
        <v>333</v>
      </c>
      <c r="C275" s="90">
        <v>52789826</v>
      </c>
      <c r="D275" s="90">
        <v>52794186</v>
      </c>
      <c r="E275" s="90" t="s">
        <v>111</v>
      </c>
      <c r="F275" s="92">
        <v>0</v>
      </c>
      <c r="G275" s="91"/>
      <c r="H275" s="93">
        <v>44645.333333333336</v>
      </c>
      <c r="I275" s="93">
        <v>44645.333333333336</v>
      </c>
    </row>
    <row r="276" spans="1:9" x14ac:dyDescent="0.25">
      <c r="A276" s="70">
        <v>242</v>
      </c>
      <c r="B276" s="94" t="s">
        <v>325</v>
      </c>
      <c r="C276" s="90">
        <v>52794187</v>
      </c>
      <c r="D276" s="90">
        <v>52794186</v>
      </c>
      <c r="E276" s="90" t="s">
        <v>111</v>
      </c>
      <c r="F276" s="92">
        <v>0</v>
      </c>
      <c r="G276" s="91"/>
      <c r="H276" s="93">
        <v>44645.333333333336</v>
      </c>
      <c r="I276" s="93">
        <v>44645.333333333336</v>
      </c>
    </row>
    <row r="277" spans="1:9" x14ac:dyDescent="0.25">
      <c r="A277" s="69">
        <v>243</v>
      </c>
      <c r="B277" s="94" t="s">
        <v>327</v>
      </c>
      <c r="C277" s="90">
        <v>52792894</v>
      </c>
      <c r="D277" s="90">
        <v>52794186</v>
      </c>
      <c r="E277" s="90" t="s">
        <v>111</v>
      </c>
      <c r="F277" s="92">
        <v>0</v>
      </c>
      <c r="G277" s="91"/>
      <c r="H277" s="93">
        <v>44645.333333333336</v>
      </c>
      <c r="I277" s="93">
        <v>44645.333333333336</v>
      </c>
    </row>
    <row r="278" spans="1:9" x14ac:dyDescent="0.25">
      <c r="A278" s="69">
        <v>245</v>
      </c>
      <c r="B278" s="94" t="s">
        <v>328</v>
      </c>
      <c r="C278" s="90">
        <v>52792893</v>
      </c>
      <c r="D278" s="90">
        <v>52794186</v>
      </c>
      <c r="E278" s="90" t="s">
        <v>111</v>
      </c>
      <c r="F278" s="92">
        <v>0</v>
      </c>
      <c r="G278" s="91"/>
      <c r="H278" s="93">
        <v>44645.333333333336</v>
      </c>
      <c r="I278" s="93">
        <v>44645.333333333336</v>
      </c>
    </row>
    <row r="279" spans="1:9" x14ac:dyDescent="0.25">
      <c r="A279" s="70">
        <v>246</v>
      </c>
      <c r="B279" s="94" t="s">
        <v>329</v>
      </c>
      <c r="C279" s="90">
        <v>52792892</v>
      </c>
      <c r="D279" s="90">
        <v>52794186</v>
      </c>
      <c r="E279" s="90" t="s">
        <v>111</v>
      </c>
      <c r="F279" s="92">
        <v>0</v>
      </c>
      <c r="G279" s="91"/>
      <c r="H279" s="93">
        <v>44645.333333333336</v>
      </c>
      <c r="I279" s="93">
        <v>44645.333333333336</v>
      </c>
    </row>
    <row r="280" spans="1:9" x14ac:dyDescent="0.25">
      <c r="A280" s="69">
        <v>247</v>
      </c>
      <c r="B280" s="94" t="s">
        <v>334</v>
      </c>
      <c r="C280" s="90">
        <v>52792891</v>
      </c>
      <c r="D280" s="90">
        <v>52794186</v>
      </c>
      <c r="E280" s="90" t="s">
        <v>111</v>
      </c>
      <c r="F280" s="92">
        <v>0</v>
      </c>
      <c r="G280" s="91"/>
      <c r="H280" s="93">
        <v>44645.333333333336</v>
      </c>
      <c r="I280" s="93">
        <v>44645.333333333336</v>
      </c>
    </row>
    <row r="281" spans="1:9" x14ac:dyDescent="0.25">
      <c r="A281" s="70">
        <v>248</v>
      </c>
      <c r="B281" s="94" t="s">
        <v>326</v>
      </c>
      <c r="C281" s="90">
        <v>52791813</v>
      </c>
      <c r="D281" s="90">
        <v>52794186</v>
      </c>
      <c r="E281" s="90" t="s">
        <v>111</v>
      </c>
      <c r="F281" s="92">
        <v>0</v>
      </c>
      <c r="G281" s="91"/>
      <c r="H281" s="93">
        <v>44645.333333333336</v>
      </c>
      <c r="I281" s="93">
        <v>44645.333333333336</v>
      </c>
    </row>
    <row r="282" spans="1:9" x14ac:dyDescent="0.25">
      <c r="A282" s="69">
        <v>249</v>
      </c>
      <c r="B282" s="94" t="s">
        <v>331</v>
      </c>
      <c r="C282" s="90">
        <v>52791812</v>
      </c>
      <c r="D282" s="90">
        <v>52794186</v>
      </c>
      <c r="E282" s="90" t="s">
        <v>111</v>
      </c>
      <c r="F282" s="92">
        <v>0</v>
      </c>
      <c r="G282" s="91"/>
      <c r="H282" s="93">
        <v>44645.333333333336</v>
      </c>
      <c r="I282" s="93">
        <v>44645.333333333336</v>
      </c>
    </row>
    <row r="283" spans="1:9" x14ac:dyDescent="0.25">
      <c r="A283" s="70">
        <v>250</v>
      </c>
      <c r="B283" s="94" t="s">
        <v>332</v>
      </c>
      <c r="C283" s="90">
        <v>52791810</v>
      </c>
      <c r="D283" s="90">
        <v>52794186</v>
      </c>
      <c r="E283" s="90" t="s">
        <v>170</v>
      </c>
      <c r="F283" s="92">
        <v>0</v>
      </c>
      <c r="G283" s="91"/>
      <c r="H283" s="93">
        <v>44645.486805555556</v>
      </c>
      <c r="I283" s="93">
        <v>44645.333333333336</v>
      </c>
    </row>
    <row r="284" spans="1:9" x14ac:dyDescent="0.25">
      <c r="A284" s="69">
        <v>251</v>
      </c>
      <c r="B284" s="94" t="s">
        <v>330</v>
      </c>
      <c r="C284" s="90">
        <v>52793225</v>
      </c>
      <c r="D284" s="90">
        <v>52794186</v>
      </c>
      <c r="E284" s="90" t="s">
        <v>111</v>
      </c>
      <c r="F284" s="92">
        <v>0</v>
      </c>
      <c r="G284" s="91"/>
      <c r="H284" s="93">
        <v>44645.333333333336</v>
      </c>
      <c r="I284" s="93">
        <v>44645.333333333336</v>
      </c>
    </row>
    <row r="285" spans="1:9" x14ac:dyDescent="0.25">
      <c r="A285" s="70">
        <v>252</v>
      </c>
      <c r="B285" s="94" t="s">
        <v>335</v>
      </c>
      <c r="C285" s="90">
        <v>52793223</v>
      </c>
      <c r="D285" s="90">
        <v>52794186</v>
      </c>
      <c r="E285" s="90" t="s">
        <v>111</v>
      </c>
      <c r="F285" s="92">
        <v>0</v>
      </c>
      <c r="G285" s="91"/>
      <c r="H285" s="93">
        <v>44645.333333333336</v>
      </c>
      <c r="I285" s="93">
        <v>44645.333333333336</v>
      </c>
    </row>
    <row r="286" spans="1:9" x14ac:dyDescent="0.25">
      <c r="A286" s="69">
        <v>253</v>
      </c>
      <c r="B286" s="94" t="s">
        <v>336</v>
      </c>
      <c r="C286" s="90">
        <v>52793224</v>
      </c>
      <c r="D286" s="90">
        <v>52794186</v>
      </c>
      <c r="E286" s="90" t="s">
        <v>111</v>
      </c>
      <c r="F286" s="92">
        <v>0</v>
      </c>
      <c r="G286" s="91"/>
      <c r="H286" s="93">
        <v>44645.333333333336</v>
      </c>
      <c r="I286" s="93">
        <v>44645.333333333336</v>
      </c>
    </row>
    <row r="287" spans="1:9" x14ac:dyDescent="0.25">
      <c r="A287" s="70">
        <v>254</v>
      </c>
      <c r="B287" s="94" t="s">
        <v>341</v>
      </c>
      <c r="C287" s="90">
        <v>52794188</v>
      </c>
      <c r="D287" s="90">
        <v>52794186</v>
      </c>
      <c r="E287" s="90" t="s">
        <v>108</v>
      </c>
      <c r="F287" s="92">
        <v>3.4722222222222224E-4</v>
      </c>
      <c r="G287" s="93">
        <v>44645.486805555556</v>
      </c>
      <c r="H287" s="93">
        <v>44645.486805555556</v>
      </c>
      <c r="I287" s="93">
        <v>44645.333333333336</v>
      </c>
    </row>
    <row r="288" spans="1:9" x14ac:dyDescent="0.25">
      <c r="A288" s="69">
        <v>255</v>
      </c>
      <c r="B288" s="89" t="s">
        <v>342</v>
      </c>
      <c r="C288" s="90">
        <v>52791825</v>
      </c>
      <c r="D288" s="90">
        <v>52794056</v>
      </c>
      <c r="E288" s="90" t="s">
        <v>111</v>
      </c>
      <c r="F288" s="92">
        <v>0</v>
      </c>
      <c r="G288" s="91"/>
      <c r="H288" s="93">
        <v>44645.333333333336</v>
      </c>
      <c r="I288" s="93">
        <v>44645.333333333336</v>
      </c>
    </row>
    <row r="289" spans="1:9" x14ac:dyDescent="0.25">
      <c r="A289" s="70">
        <v>256</v>
      </c>
      <c r="B289" s="89" t="s">
        <v>344</v>
      </c>
      <c r="C289" s="90">
        <v>52791836</v>
      </c>
      <c r="D289" s="90">
        <v>52794056</v>
      </c>
      <c r="E289" s="90" t="s">
        <v>111</v>
      </c>
      <c r="F289" s="92">
        <v>0</v>
      </c>
      <c r="G289" s="91"/>
      <c r="H289" s="93">
        <v>44645.333333333336</v>
      </c>
      <c r="I289" s="93">
        <v>44645.333333333336</v>
      </c>
    </row>
    <row r="290" spans="1:9" x14ac:dyDescent="0.25">
      <c r="A290" s="69">
        <v>257</v>
      </c>
      <c r="B290" s="89" t="s">
        <v>343</v>
      </c>
      <c r="C290" s="90">
        <v>52791826</v>
      </c>
      <c r="D290" s="90">
        <v>52794056</v>
      </c>
      <c r="E290" s="90" t="s">
        <v>170</v>
      </c>
      <c r="F290" s="92">
        <v>0</v>
      </c>
      <c r="G290" s="91"/>
      <c r="H290" s="93">
        <v>44645.486805555556</v>
      </c>
      <c r="I290" s="93">
        <v>44645.333333333336</v>
      </c>
    </row>
    <row r="291" spans="1:9" x14ac:dyDescent="0.25">
      <c r="A291" s="70">
        <v>258</v>
      </c>
      <c r="B291" s="89" t="s">
        <v>345</v>
      </c>
      <c r="C291" s="90">
        <v>52791837</v>
      </c>
      <c r="D291" s="90">
        <v>52794056</v>
      </c>
      <c r="E291" s="90" t="s">
        <v>108</v>
      </c>
      <c r="F291" s="92">
        <v>0</v>
      </c>
      <c r="G291" s="93">
        <v>44645.550694444442</v>
      </c>
      <c r="H291" s="93">
        <v>44645.550694444442</v>
      </c>
      <c r="I291" s="93">
        <v>44645.333333333336</v>
      </c>
    </row>
    <row r="292" spans="1:9" x14ac:dyDescent="0.25">
      <c r="A292" s="69">
        <v>259</v>
      </c>
      <c r="B292" s="89" t="s">
        <v>347</v>
      </c>
      <c r="C292" s="90">
        <v>52791853</v>
      </c>
      <c r="D292" s="90">
        <v>52794056</v>
      </c>
      <c r="E292" s="90" t="s">
        <v>108</v>
      </c>
      <c r="F292" s="92">
        <v>0</v>
      </c>
      <c r="G292" s="93">
        <v>44645.550694444442</v>
      </c>
      <c r="H292" s="93">
        <v>44645.550694444442</v>
      </c>
      <c r="I292" s="93">
        <v>44645.333333333336</v>
      </c>
    </row>
    <row r="293" spans="1:9" x14ac:dyDescent="0.25">
      <c r="A293" s="70">
        <v>260</v>
      </c>
      <c r="B293" s="89" t="s">
        <v>346</v>
      </c>
      <c r="C293" s="90">
        <v>52791842</v>
      </c>
      <c r="D293" s="90">
        <v>52794056</v>
      </c>
      <c r="E293" s="90" t="s">
        <v>108</v>
      </c>
      <c r="F293" s="92">
        <v>1.1574074074074073E-5</v>
      </c>
      <c r="G293" s="93">
        <v>44645.550694444442</v>
      </c>
      <c r="H293" s="93">
        <v>44645.550694444442</v>
      </c>
      <c r="I293" s="93">
        <v>44645.333333333336</v>
      </c>
    </row>
    <row r="294" spans="1:9" x14ac:dyDescent="0.25">
      <c r="A294" s="69">
        <v>261</v>
      </c>
      <c r="B294" s="89" t="s">
        <v>85</v>
      </c>
      <c r="C294" s="90">
        <v>52791855</v>
      </c>
      <c r="D294" s="90">
        <v>52794056</v>
      </c>
      <c r="E294" s="90" t="s">
        <v>108</v>
      </c>
      <c r="F294" s="92">
        <v>4.4953703703703697E-2</v>
      </c>
      <c r="G294" s="93">
        <v>44645.466666666667</v>
      </c>
      <c r="H294" s="93">
        <v>44645.511111111111</v>
      </c>
      <c r="I294" s="93">
        <v>44645.333333333336</v>
      </c>
    </row>
    <row r="295" spans="1:9" x14ac:dyDescent="0.25">
      <c r="A295" s="70">
        <v>262</v>
      </c>
      <c r="B295" s="94" t="s">
        <v>353</v>
      </c>
      <c r="C295" s="90">
        <v>52791881</v>
      </c>
      <c r="D295" s="90">
        <v>52791855</v>
      </c>
      <c r="E295" s="90" t="s">
        <v>108</v>
      </c>
      <c r="F295" s="92">
        <v>8.4490740740740741E-3</v>
      </c>
      <c r="G295" s="93">
        <v>44645.486111111109</v>
      </c>
      <c r="H295" s="93">
        <v>44645.494444444441</v>
      </c>
      <c r="I295" s="93">
        <v>44645.333333333336</v>
      </c>
    </row>
    <row r="296" spans="1:9" x14ac:dyDescent="0.25">
      <c r="A296" s="69">
        <v>263</v>
      </c>
      <c r="B296" s="94" t="s">
        <v>348</v>
      </c>
      <c r="C296" s="90">
        <v>52791873</v>
      </c>
      <c r="D296" s="90">
        <v>52791855</v>
      </c>
      <c r="E296" s="90" t="s">
        <v>108</v>
      </c>
      <c r="F296" s="92">
        <v>1.1574074074074073E-5</v>
      </c>
      <c r="G296" s="93">
        <v>44645.511111111111</v>
      </c>
      <c r="H296" s="93">
        <v>44645.511111111111</v>
      </c>
      <c r="I296" s="93">
        <v>44645.333333333336</v>
      </c>
    </row>
    <row r="297" spans="1:9" x14ac:dyDescent="0.25">
      <c r="A297" s="70">
        <v>264</v>
      </c>
      <c r="B297" s="94" t="s">
        <v>349</v>
      </c>
      <c r="C297" s="90">
        <v>52791872</v>
      </c>
      <c r="D297" s="90">
        <v>52791855</v>
      </c>
      <c r="E297" s="90" t="s">
        <v>108</v>
      </c>
      <c r="F297" s="92">
        <v>9.2592592592592588E-5</v>
      </c>
      <c r="G297" s="93">
        <v>44645.511111111111</v>
      </c>
      <c r="H297" s="93">
        <v>44645.511111111111</v>
      </c>
      <c r="I297" s="93">
        <v>44645.333333333336</v>
      </c>
    </row>
    <row r="298" spans="1:9" x14ac:dyDescent="0.25">
      <c r="A298" s="69">
        <v>265</v>
      </c>
      <c r="B298" s="94" t="s">
        <v>350</v>
      </c>
      <c r="C298" s="90">
        <v>52791871</v>
      </c>
      <c r="D298" s="90">
        <v>52791855</v>
      </c>
      <c r="E298" s="90" t="s">
        <v>108</v>
      </c>
      <c r="F298" s="92">
        <v>8.9120370370370378E-3</v>
      </c>
      <c r="G298" s="93">
        <v>44645.502083333333</v>
      </c>
      <c r="H298" s="93">
        <v>44645.511111111111</v>
      </c>
      <c r="I298" s="93">
        <v>44645.333333333336</v>
      </c>
    </row>
    <row r="299" spans="1:9" x14ac:dyDescent="0.25">
      <c r="A299" s="70">
        <v>266</v>
      </c>
      <c r="B299" s="94" t="s">
        <v>351</v>
      </c>
      <c r="C299" s="90">
        <v>52791870</v>
      </c>
      <c r="D299" s="90">
        <v>52791855</v>
      </c>
      <c r="E299" s="90" t="s">
        <v>108</v>
      </c>
      <c r="F299" s="92">
        <v>4.6296296296296294E-5</v>
      </c>
      <c r="G299" s="93">
        <v>44645.502083333333</v>
      </c>
      <c r="H299" s="93">
        <v>44645.502083333333</v>
      </c>
      <c r="I299" s="93">
        <v>44645.333333333336</v>
      </c>
    </row>
    <row r="300" spans="1:9" x14ac:dyDescent="0.25">
      <c r="A300" s="69">
        <v>267</v>
      </c>
      <c r="B300" s="94" t="s">
        <v>352</v>
      </c>
      <c r="C300" s="90">
        <v>52791869</v>
      </c>
      <c r="D300" s="90">
        <v>52791855</v>
      </c>
      <c r="E300" s="90" t="s">
        <v>108</v>
      </c>
      <c r="F300" s="92">
        <v>5.2083333333333333E-4</v>
      </c>
      <c r="G300" s="93">
        <v>44645.502083333333</v>
      </c>
      <c r="H300" s="93">
        <v>44645.502083333333</v>
      </c>
      <c r="I300" s="93">
        <v>44645.333333333336</v>
      </c>
    </row>
    <row r="301" spans="1:9" x14ac:dyDescent="0.25">
      <c r="A301" s="70">
        <v>268</v>
      </c>
      <c r="B301" s="94" t="s">
        <v>360</v>
      </c>
      <c r="C301" s="90">
        <v>52791868</v>
      </c>
      <c r="D301" s="90">
        <v>52791855</v>
      </c>
      <c r="E301" s="90" t="s">
        <v>108</v>
      </c>
      <c r="F301" s="92">
        <v>9.1435185185185185E-4</v>
      </c>
      <c r="G301" s="93">
        <v>44645.500694444447</v>
      </c>
      <c r="H301" s="93">
        <v>44645.501388888886</v>
      </c>
      <c r="I301" s="93">
        <v>44645.333333333336</v>
      </c>
    </row>
    <row r="302" spans="1:9" x14ac:dyDescent="0.25">
      <c r="A302" s="69">
        <v>269</v>
      </c>
      <c r="B302" s="94" t="s">
        <v>362</v>
      </c>
      <c r="C302" s="90">
        <v>52791861</v>
      </c>
      <c r="D302" s="90">
        <v>52791855</v>
      </c>
      <c r="E302" s="90" t="s">
        <v>108</v>
      </c>
      <c r="F302" s="92">
        <v>5.5555555555555558E-3</v>
      </c>
      <c r="G302" s="93">
        <v>44645.495138888888</v>
      </c>
      <c r="H302" s="93">
        <v>44645.500694444447</v>
      </c>
      <c r="I302" s="93">
        <v>44645.333333333336</v>
      </c>
    </row>
    <row r="303" spans="1:9" x14ac:dyDescent="0.25">
      <c r="A303" s="70">
        <v>270</v>
      </c>
      <c r="B303" s="94" t="s">
        <v>361</v>
      </c>
      <c r="C303" s="90">
        <v>52791862</v>
      </c>
      <c r="D303" s="90">
        <v>52791855</v>
      </c>
      <c r="E303" s="90" t="s">
        <v>108</v>
      </c>
      <c r="F303" s="92">
        <v>1.324074074074074E-2</v>
      </c>
      <c r="G303" s="93">
        <v>44645.495138888888</v>
      </c>
      <c r="H303" s="93">
        <v>44645.508333333331</v>
      </c>
      <c r="I303" s="93">
        <v>44645.333333333336</v>
      </c>
    </row>
    <row r="304" spans="1:9" x14ac:dyDescent="0.25">
      <c r="A304" s="69">
        <v>271</v>
      </c>
      <c r="B304" s="94" t="s">
        <v>363</v>
      </c>
      <c r="C304" s="90">
        <v>52791860</v>
      </c>
      <c r="D304" s="90">
        <v>52791855</v>
      </c>
      <c r="E304" s="90" t="s">
        <v>108</v>
      </c>
      <c r="F304" s="92">
        <v>9.5023148148148159E-3</v>
      </c>
      <c r="G304" s="93">
        <v>44645.48541666667</v>
      </c>
      <c r="H304" s="93">
        <v>44645.495138888888</v>
      </c>
      <c r="I304" s="93">
        <v>44645.333333333336</v>
      </c>
    </row>
    <row r="305" spans="1:9" x14ac:dyDescent="0.25">
      <c r="A305" s="70">
        <v>272</v>
      </c>
      <c r="B305" s="94" t="s">
        <v>87</v>
      </c>
      <c r="C305" s="90">
        <v>52791880</v>
      </c>
      <c r="D305" s="90">
        <v>52791855</v>
      </c>
      <c r="E305" s="90" t="s">
        <v>108</v>
      </c>
      <c r="F305" s="92">
        <v>2.4421296296296296E-3</v>
      </c>
      <c r="G305" s="93">
        <v>44645.48333333333</v>
      </c>
      <c r="H305" s="93">
        <v>44645.486111111109</v>
      </c>
      <c r="I305" s="93">
        <v>44645.333333333336</v>
      </c>
    </row>
    <row r="306" spans="1:9" x14ac:dyDescent="0.25">
      <c r="A306" s="69">
        <v>273</v>
      </c>
      <c r="B306" s="94" t="s">
        <v>354</v>
      </c>
      <c r="C306" s="90">
        <v>52791877</v>
      </c>
      <c r="D306" s="90">
        <v>52791855</v>
      </c>
      <c r="E306" s="90" t="s">
        <v>108</v>
      </c>
      <c r="F306" s="92">
        <v>2.0949074074074073E-3</v>
      </c>
      <c r="G306" s="93">
        <v>44645.48333333333</v>
      </c>
      <c r="H306" s="93">
        <v>44645.48541666667</v>
      </c>
      <c r="I306" s="93">
        <v>44645.333333333336</v>
      </c>
    </row>
    <row r="307" spans="1:9" x14ac:dyDescent="0.25">
      <c r="A307" s="70">
        <v>274</v>
      </c>
      <c r="B307" s="94" t="s">
        <v>355</v>
      </c>
      <c r="C307" s="90">
        <v>52791876</v>
      </c>
      <c r="D307" s="90">
        <v>52791855</v>
      </c>
      <c r="E307" s="90" t="s">
        <v>108</v>
      </c>
      <c r="F307" s="92">
        <v>3.1249999999999997E-3</v>
      </c>
      <c r="G307" s="93">
        <v>44645.480555555558</v>
      </c>
      <c r="H307" s="93">
        <v>44645.48333333333</v>
      </c>
      <c r="I307" s="93">
        <v>44645.333333333336</v>
      </c>
    </row>
    <row r="308" spans="1:9" x14ac:dyDescent="0.25">
      <c r="A308" s="69">
        <v>275</v>
      </c>
      <c r="B308" s="94" t="s">
        <v>364</v>
      </c>
      <c r="C308" s="90">
        <v>52791859</v>
      </c>
      <c r="D308" s="90">
        <v>52791855</v>
      </c>
      <c r="E308" s="90" t="s">
        <v>108</v>
      </c>
      <c r="F308" s="92">
        <v>3.4722222222222224E-4</v>
      </c>
      <c r="G308" s="93">
        <v>44645.472222222219</v>
      </c>
      <c r="H308" s="93">
        <v>44645.472916666666</v>
      </c>
      <c r="I308" s="93">
        <v>44645.333333333336</v>
      </c>
    </row>
    <row r="309" spans="1:9" x14ac:dyDescent="0.25">
      <c r="A309" s="70">
        <v>276</v>
      </c>
      <c r="B309" s="94" t="s">
        <v>357</v>
      </c>
      <c r="C309" s="90">
        <v>52791879</v>
      </c>
      <c r="D309" s="90">
        <v>52791855</v>
      </c>
      <c r="E309" s="90" t="s">
        <v>108</v>
      </c>
      <c r="F309" s="92">
        <v>1.9907407407407408E-3</v>
      </c>
      <c r="G309" s="93">
        <v>44645.468055555553</v>
      </c>
      <c r="H309" s="93">
        <v>44645.470138888886</v>
      </c>
      <c r="I309" s="93">
        <v>44645.333333333336</v>
      </c>
    </row>
    <row r="310" spans="1:9" x14ac:dyDescent="0.25">
      <c r="A310" s="69">
        <v>277</v>
      </c>
      <c r="B310" s="94" t="s">
        <v>356</v>
      </c>
      <c r="C310" s="90">
        <v>52791875</v>
      </c>
      <c r="D310" s="90">
        <v>52791855</v>
      </c>
      <c r="E310" s="90" t="s">
        <v>108</v>
      </c>
      <c r="F310" s="92">
        <v>1.2256944444444444E-2</v>
      </c>
      <c r="G310" s="93">
        <v>44645.468055555553</v>
      </c>
      <c r="H310" s="93">
        <v>44645.480555555558</v>
      </c>
      <c r="I310" s="93">
        <v>44645.333333333336</v>
      </c>
    </row>
    <row r="311" spans="1:9" x14ac:dyDescent="0.25">
      <c r="A311" s="70">
        <v>278</v>
      </c>
      <c r="B311" s="94" t="s">
        <v>358</v>
      </c>
      <c r="C311" s="90">
        <v>52791878</v>
      </c>
      <c r="D311" s="90">
        <v>52791855</v>
      </c>
      <c r="E311" s="90" t="s">
        <v>108</v>
      </c>
      <c r="F311" s="92">
        <v>2.0486111111111113E-3</v>
      </c>
      <c r="G311" s="93">
        <v>44645.468055555553</v>
      </c>
      <c r="H311" s="93">
        <v>44645.470138888886</v>
      </c>
      <c r="I311" s="93">
        <v>44645.333333333336</v>
      </c>
    </row>
    <row r="312" spans="1:9" x14ac:dyDescent="0.25">
      <c r="A312" s="69">
        <v>279</v>
      </c>
      <c r="B312" s="94" t="s">
        <v>359</v>
      </c>
      <c r="C312" s="90">
        <v>52791874</v>
      </c>
      <c r="D312" s="90">
        <v>52791855</v>
      </c>
      <c r="E312" s="90" t="s">
        <v>108</v>
      </c>
      <c r="F312" s="92">
        <v>1.0995370370370371E-3</v>
      </c>
      <c r="G312" s="93">
        <v>44645.466666666667</v>
      </c>
      <c r="H312" s="93">
        <v>44645.467361111114</v>
      </c>
      <c r="I312" s="93">
        <v>44645.333333333336</v>
      </c>
    </row>
    <row r="313" spans="1:9" x14ac:dyDescent="0.25">
      <c r="A313" s="70">
        <v>280</v>
      </c>
      <c r="B313" s="94" t="s">
        <v>366</v>
      </c>
      <c r="C313" s="90">
        <v>52791856</v>
      </c>
      <c r="D313" s="90">
        <v>52791855</v>
      </c>
      <c r="E313" s="90" t="s">
        <v>111</v>
      </c>
      <c r="F313" s="92">
        <v>0</v>
      </c>
      <c r="G313" s="91"/>
      <c r="H313" s="93">
        <v>44645.333333333336</v>
      </c>
      <c r="I313" s="93">
        <v>44645.333333333336</v>
      </c>
    </row>
    <row r="314" spans="1:9" x14ac:dyDescent="0.25">
      <c r="A314" s="69">
        <v>281</v>
      </c>
      <c r="B314" s="94" t="s">
        <v>365</v>
      </c>
      <c r="C314" s="90">
        <v>52791858</v>
      </c>
      <c r="D314" s="90">
        <v>52791855</v>
      </c>
      <c r="E314" s="90" t="s">
        <v>108</v>
      </c>
      <c r="F314" s="92">
        <v>4.155092592592593E-3</v>
      </c>
      <c r="G314" s="93">
        <v>44645.468055555553</v>
      </c>
      <c r="H314" s="93">
        <v>44645.472222222219</v>
      </c>
      <c r="I314" s="93">
        <v>44645.333333333336</v>
      </c>
    </row>
    <row r="315" spans="1:9" x14ac:dyDescent="0.25">
      <c r="A315" s="70">
        <v>282</v>
      </c>
      <c r="B315" s="94" t="s">
        <v>367</v>
      </c>
      <c r="C315" s="90">
        <v>52791857</v>
      </c>
      <c r="D315" s="90">
        <v>52791855</v>
      </c>
      <c r="E315" s="90" t="s">
        <v>108</v>
      </c>
      <c r="F315" s="92">
        <v>4.1666666666666666E-3</v>
      </c>
      <c r="G315" s="93">
        <v>44645.468055555553</v>
      </c>
      <c r="H315" s="93">
        <v>44645.472222222219</v>
      </c>
      <c r="I315" s="93">
        <v>44645.333333333336</v>
      </c>
    </row>
    <row r="316" spans="1:9" x14ac:dyDescent="0.25">
      <c r="A316" s="69">
        <v>283</v>
      </c>
      <c r="B316" s="89" t="s">
        <v>88</v>
      </c>
      <c r="C316" s="90">
        <v>52791882</v>
      </c>
      <c r="D316" s="90">
        <v>52794056</v>
      </c>
      <c r="E316" s="90" t="s">
        <v>108</v>
      </c>
      <c r="F316" s="92">
        <v>5.0810185185185186E-3</v>
      </c>
      <c r="G316" s="93">
        <v>44645.550694444442</v>
      </c>
      <c r="H316" s="93">
        <v>44645.555555555555</v>
      </c>
      <c r="I316" s="93">
        <v>44645.333333333336</v>
      </c>
    </row>
    <row r="317" spans="1:9" x14ac:dyDescent="0.25">
      <c r="A317" s="70">
        <v>284</v>
      </c>
      <c r="B317" s="89" t="s">
        <v>368</v>
      </c>
      <c r="C317" s="90">
        <v>52789828</v>
      </c>
      <c r="D317" s="90">
        <v>52794056</v>
      </c>
      <c r="E317" s="90" t="s">
        <v>108</v>
      </c>
      <c r="F317" s="92">
        <v>1.1562499999999998E-2</v>
      </c>
      <c r="G317" s="93">
        <v>44645.486111111109</v>
      </c>
      <c r="H317" s="93">
        <v>44645.497916666667</v>
      </c>
      <c r="I317" s="93">
        <v>44645.333333333336</v>
      </c>
    </row>
    <row r="318" spans="1:9" x14ac:dyDescent="0.25">
      <c r="A318" s="69">
        <v>285</v>
      </c>
      <c r="B318" s="94" t="s">
        <v>369</v>
      </c>
      <c r="C318" s="90">
        <v>52792896</v>
      </c>
      <c r="D318" s="90">
        <v>52789828</v>
      </c>
      <c r="E318" s="90" t="s">
        <v>111</v>
      </c>
      <c r="F318" s="92">
        <v>0</v>
      </c>
      <c r="G318" s="91"/>
      <c r="H318" s="93">
        <v>44645.333333333336</v>
      </c>
      <c r="I318" s="93">
        <v>44645.333333333336</v>
      </c>
    </row>
    <row r="319" spans="1:9" x14ac:dyDescent="0.25">
      <c r="A319" s="70">
        <v>286</v>
      </c>
      <c r="B319" s="94" t="s">
        <v>374</v>
      </c>
      <c r="C319" s="90">
        <v>52791895</v>
      </c>
      <c r="D319" s="90">
        <v>52789828</v>
      </c>
      <c r="E319" s="90" t="s">
        <v>108</v>
      </c>
      <c r="F319" s="92">
        <v>5.2083333333333333E-4</v>
      </c>
      <c r="G319" s="93">
        <v>44645.486805555556</v>
      </c>
      <c r="H319" s="93">
        <v>44645.486805555556</v>
      </c>
      <c r="I319" s="93">
        <v>44645.333333333336</v>
      </c>
    </row>
    <row r="320" spans="1:9" x14ac:dyDescent="0.25">
      <c r="A320" s="69">
        <v>287</v>
      </c>
      <c r="B320" s="94" t="s">
        <v>372</v>
      </c>
      <c r="C320" s="90">
        <v>52792897</v>
      </c>
      <c r="D320" s="90">
        <v>52789828</v>
      </c>
      <c r="E320" s="90" t="s">
        <v>108</v>
      </c>
      <c r="F320" s="92">
        <v>4.6296296296296294E-5</v>
      </c>
      <c r="G320" s="93">
        <v>44645.486805555556</v>
      </c>
      <c r="H320" s="93">
        <v>44645.486805555556</v>
      </c>
      <c r="I320" s="93">
        <v>44645.333333333336</v>
      </c>
    </row>
    <row r="321" spans="1:9" x14ac:dyDescent="0.25">
      <c r="A321" s="70">
        <v>288</v>
      </c>
      <c r="B321" s="94" t="s">
        <v>371</v>
      </c>
      <c r="C321" s="90">
        <v>52792898</v>
      </c>
      <c r="D321" s="90">
        <v>52789828</v>
      </c>
      <c r="E321" s="90" t="s">
        <v>108</v>
      </c>
      <c r="F321" s="92">
        <v>8.9120370370370362E-4</v>
      </c>
      <c r="G321" s="93">
        <v>44645.486805555556</v>
      </c>
      <c r="H321" s="93">
        <v>44645.487500000003</v>
      </c>
      <c r="I321" s="93">
        <v>44645.333333333336</v>
      </c>
    </row>
    <row r="322" spans="1:9" x14ac:dyDescent="0.25">
      <c r="A322" s="69">
        <v>289</v>
      </c>
      <c r="B322" s="94" t="s">
        <v>373</v>
      </c>
      <c r="C322" s="90">
        <v>52791893</v>
      </c>
      <c r="D322" s="90">
        <v>52789828</v>
      </c>
      <c r="E322" s="90" t="s">
        <v>108</v>
      </c>
      <c r="F322" s="92">
        <v>1.1539351851851851E-2</v>
      </c>
      <c r="G322" s="93">
        <v>44645.486805555556</v>
      </c>
      <c r="H322" s="93">
        <v>44645.497916666667</v>
      </c>
      <c r="I322" s="93">
        <v>44645.333333333336</v>
      </c>
    </row>
    <row r="323" spans="1:9" x14ac:dyDescent="0.25">
      <c r="A323" s="70">
        <v>290</v>
      </c>
      <c r="B323" s="94" t="s">
        <v>370</v>
      </c>
      <c r="C323" s="90">
        <v>52791894</v>
      </c>
      <c r="D323" s="90">
        <v>52789828</v>
      </c>
      <c r="E323" s="90" t="s">
        <v>108</v>
      </c>
      <c r="F323" s="92">
        <v>4.6296296296296294E-5</v>
      </c>
      <c r="G323" s="93">
        <v>44645.486805555556</v>
      </c>
      <c r="H323" s="93">
        <v>44645.486805555556</v>
      </c>
      <c r="I323" s="93">
        <v>44645.333333333336</v>
      </c>
    </row>
    <row r="324" spans="1:9" x14ac:dyDescent="0.25">
      <c r="A324" s="69">
        <v>291</v>
      </c>
      <c r="B324" s="89" t="s">
        <v>380</v>
      </c>
      <c r="C324" s="90">
        <v>52793230</v>
      </c>
      <c r="D324" s="90">
        <v>52794056</v>
      </c>
      <c r="E324" s="90" t="s">
        <v>108</v>
      </c>
      <c r="F324" s="92">
        <v>7.291666666666667E-4</v>
      </c>
      <c r="G324" s="93">
        <v>44645.486805555556</v>
      </c>
      <c r="H324" s="93">
        <v>44645.487500000003</v>
      </c>
      <c r="I324" s="93">
        <v>44645.333333333336</v>
      </c>
    </row>
    <row r="325" spans="1:9" x14ac:dyDescent="0.25">
      <c r="A325" s="70">
        <v>292</v>
      </c>
      <c r="B325" s="94" t="s">
        <v>381</v>
      </c>
      <c r="C325" s="90">
        <v>52793238</v>
      </c>
      <c r="D325" s="90">
        <v>52793230</v>
      </c>
      <c r="E325" s="90" t="s">
        <v>111</v>
      </c>
      <c r="F325" s="92">
        <v>0</v>
      </c>
      <c r="G325" s="91"/>
      <c r="H325" s="93">
        <v>44645.333333333336</v>
      </c>
      <c r="I325" s="93">
        <v>44645.333333333336</v>
      </c>
    </row>
    <row r="326" spans="1:9" x14ac:dyDescent="0.25">
      <c r="A326" s="69">
        <v>293</v>
      </c>
      <c r="B326" s="94" t="s">
        <v>382</v>
      </c>
      <c r="C326" s="90">
        <v>52793234</v>
      </c>
      <c r="D326" s="90">
        <v>52793230</v>
      </c>
      <c r="E326" s="90" t="s">
        <v>187</v>
      </c>
      <c r="F326" s="92">
        <v>0</v>
      </c>
      <c r="G326" s="91"/>
      <c r="H326" s="93">
        <v>44645.486805555556</v>
      </c>
      <c r="I326" s="93">
        <v>44645.333333333336</v>
      </c>
    </row>
    <row r="327" spans="1:9" x14ac:dyDescent="0.25">
      <c r="A327" s="70">
        <v>294</v>
      </c>
      <c r="B327" s="94" t="s">
        <v>383</v>
      </c>
      <c r="C327" s="90">
        <v>52793236</v>
      </c>
      <c r="D327" s="90">
        <v>52793230</v>
      </c>
      <c r="E327" s="90" t="s">
        <v>187</v>
      </c>
      <c r="F327" s="92">
        <v>0</v>
      </c>
      <c r="G327" s="91"/>
      <c r="H327" s="93">
        <v>44645.486805555556</v>
      </c>
      <c r="I327" s="93">
        <v>44645.333333333336</v>
      </c>
    </row>
    <row r="328" spans="1:9" x14ac:dyDescent="0.25">
      <c r="A328" s="69">
        <v>295</v>
      </c>
      <c r="B328" s="94" t="s">
        <v>384</v>
      </c>
      <c r="C328" s="90">
        <v>52793233</v>
      </c>
      <c r="D328" s="90">
        <v>52793230</v>
      </c>
      <c r="E328" s="90" t="s">
        <v>108</v>
      </c>
      <c r="F328" s="92">
        <v>3.4722222222222224E-4</v>
      </c>
      <c r="G328" s="93">
        <v>44645.486805555556</v>
      </c>
      <c r="H328" s="93">
        <v>44645.487500000003</v>
      </c>
      <c r="I328" s="93">
        <v>44645.333333333336</v>
      </c>
    </row>
    <row r="329" spans="1:9" x14ac:dyDescent="0.25">
      <c r="A329" s="70">
        <v>296</v>
      </c>
      <c r="B329" s="94" t="s">
        <v>386</v>
      </c>
      <c r="C329" s="90">
        <v>52793237</v>
      </c>
      <c r="D329" s="90">
        <v>52793230</v>
      </c>
      <c r="E329" s="90" t="s">
        <v>108</v>
      </c>
      <c r="F329" s="92">
        <v>6.9444444444444447E-4</v>
      </c>
      <c r="G329" s="93">
        <v>44645.486805555556</v>
      </c>
      <c r="H329" s="93">
        <v>44645.487500000003</v>
      </c>
      <c r="I329" s="93">
        <v>44645.333333333336</v>
      </c>
    </row>
    <row r="330" spans="1:9" x14ac:dyDescent="0.25">
      <c r="A330" s="69">
        <v>297</v>
      </c>
      <c r="B330" s="94" t="s">
        <v>385</v>
      </c>
      <c r="C330" s="90">
        <v>52793232</v>
      </c>
      <c r="D330" s="90">
        <v>52793230</v>
      </c>
      <c r="E330" s="90" t="s">
        <v>108</v>
      </c>
      <c r="F330" s="92">
        <v>3.5879629629629635E-4</v>
      </c>
      <c r="G330" s="93">
        <v>44645.486805555556</v>
      </c>
      <c r="H330" s="93">
        <v>44645.486805555556</v>
      </c>
      <c r="I330" s="93">
        <v>44645.333333333336</v>
      </c>
    </row>
    <row r="331" spans="1:9" x14ac:dyDescent="0.25">
      <c r="A331" s="70">
        <v>298</v>
      </c>
      <c r="B331" s="94" t="s">
        <v>388</v>
      </c>
      <c r="C331" s="90">
        <v>52793235</v>
      </c>
      <c r="D331" s="90">
        <v>52793230</v>
      </c>
      <c r="E331" s="90" t="s">
        <v>108</v>
      </c>
      <c r="F331" s="92">
        <v>1.1574074074074073E-5</v>
      </c>
      <c r="G331" s="93">
        <v>44645.486805555556</v>
      </c>
      <c r="H331" s="93">
        <v>44645.486805555556</v>
      </c>
      <c r="I331" s="93">
        <v>44645.333333333336</v>
      </c>
    </row>
    <row r="332" spans="1:9" x14ac:dyDescent="0.25">
      <c r="A332" s="69">
        <v>299</v>
      </c>
      <c r="B332" s="94" t="s">
        <v>387</v>
      </c>
      <c r="C332" s="90">
        <v>52793231</v>
      </c>
      <c r="D332" s="90">
        <v>52793230</v>
      </c>
      <c r="E332" s="90" t="s">
        <v>108</v>
      </c>
      <c r="F332" s="92">
        <v>1.1574074074074073E-5</v>
      </c>
      <c r="G332" s="93">
        <v>44645.486805555556</v>
      </c>
      <c r="H332" s="93">
        <v>44645.486805555556</v>
      </c>
      <c r="I332" s="93">
        <v>44645.333333333336</v>
      </c>
    </row>
    <row r="333" spans="1:9" x14ac:dyDescent="0.25">
      <c r="A333" s="70">
        <v>300</v>
      </c>
      <c r="B333" s="89" t="s">
        <v>89</v>
      </c>
      <c r="C333" s="90">
        <v>52792899</v>
      </c>
      <c r="D333" s="90">
        <v>52794056</v>
      </c>
      <c r="E333" s="90" t="s">
        <v>108</v>
      </c>
      <c r="F333" s="92">
        <v>2.327546296296296E-2</v>
      </c>
      <c r="G333" s="93">
        <v>44645.466666666667</v>
      </c>
      <c r="H333" s="93">
        <v>44645.489583333336</v>
      </c>
      <c r="I333" s="93">
        <v>44645.333333333336</v>
      </c>
    </row>
    <row r="334" spans="1:9" x14ac:dyDescent="0.25">
      <c r="A334" s="69">
        <v>301</v>
      </c>
      <c r="B334" s="94" t="s">
        <v>375</v>
      </c>
      <c r="C334" s="90">
        <v>52793229</v>
      </c>
      <c r="D334" s="90">
        <v>52792899</v>
      </c>
      <c r="E334" s="90" t="s">
        <v>108</v>
      </c>
      <c r="F334" s="92">
        <v>1.6203703703703703E-4</v>
      </c>
      <c r="G334" s="93">
        <v>44645.489583333336</v>
      </c>
      <c r="H334" s="93">
        <v>44645.489583333336</v>
      </c>
      <c r="I334" s="93">
        <v>44645.333333333336</v>
      </c>
    </row>
    <row r="335" spans="1:9" x14ac:dyDescent="0.25">
      <c r="A335" s="70">
        <v>302</v>
      </c>
      <c r="B335" s="94" t="s">
        <v>376</v>
      </c>
      <c r="C335" s="90">
        <v>52793228</v>
      </c>
      <c r="D335" s="90">
        <v>52792899</v>
      </c>
      <c r="E335" s="90" t="s">
        <v>108</v>
      </c>
      <c r="F335" s="92">
        <v>2.7199074074074074E-3</v>
      </c>
      <c r="G335" s="93">
        <v>44645.486805555556</v>
      </c>
      <c r="H335" s="93">
        <v>44645.489583333336</v>
      </c>
      <c r="I335" s="93">
        <v>44645.333333333336</v>
      </c>
    </row>
    <row r="336" spans="1:9" x14ac:dyDescent="0.25">
      <c r="A336" s="69">
        <v>303</v>
      </c>
      <c r="B336" s="94" t="s">
        <v>377</v>
      </c>
      <c r="C336" s="90">
        <v>52793227</v>
      </c>
      <c r="D336" s="90">
        <v>52792899</v>
      </c>
      <c r="E336" s="90" t="s">
        <v>108</v>
      </c>
      <c r="F336" s="92">
        <v>8.1018518518518516E-5</v>
      </c>
      <c r="G336" s="93">
        <v>44645.486805555556</v>
      </c>
      <c r="H336" s="93">
        <v>44645.486805555556</v>
      </c>
      <c r="I336" s="93">
        <v>44645.333333333336</v>
      </c>
    </row>
    <row r="337" spans="1:9" x14ac:dyDescent="0.25">
      <c r="A337" s="70">
        <v>304</v>
      </c>
      <c r="B337" s="94" t="s">
        <v>378</v>
      </c>
      <c r="C337" s="90">
        <v>52792900</v>
      </c>
      <c r="D337" s="90">
        <v>52792899</v>
      </c>
      <c r="E337" s="90" t="s">
        <v>108</v>
      </c>
      <c r="F337" s="92">
        <v>1.0416666666666667E-3</v>
      </c>
      <c r="G337" s="93">
        <v>44645.48541666667</v>
      </c>
      <c r="H337" s="93">
        <v>44645.486805555556</v>
      </c>
      <c r="I337" s="93">
        <v>44645.333333333336</v>
      </c>
    </row>
    <row r="338" spans="1:9" x14ac:dyDescent="0.25">
      <c r="A338" s="69">
        <v>305</v>
      </c>
      <c r="B338" s="94" t="s">
        <v>379</v>
      </c>
      <c r="C338" s="90">
        <v>52792901</v>
      </c>
      <c r="D338" s="90">
        <v>52792899</v>
      </c>
      <c r="E338" s="90" t="s">
        <v>108</v>
      </c>
      <c r="F338" s="92">
        <v>6.9444444444444447E-4</v>
      </c>
      <c r="G338" s="93">
        <v>44645.472222222219</v>
      </c>
      <c r="H338" s="93">
        <v>44645.472916666666</v>
      </c>
      <c r="I338" s="93">
        <v>44645.333333333336</v>
      </c>
    </row>
    <row r="339" spans="1:9" x14ac:dyDescent="0.25">
      <c r="A339" s="70">
        <v>306</v>
      </c>
      <c r="B339" s="89" t="s">
        <v>94</v>
      </c>
      <c r="C339" s="90">
        <v>52793239</v>
      </c>
      <c r="D339" s="90">
        <v>52794056</v>
      </c>
      <c r="E339" s="90" t="s">
        <v>108</v>
      </c>
      <c r="F339" s="92">
        <v>6.5509259259259262E-3</v>
      </c>
      <c r="G339" s="93">
        <v>44645.556250000001</v>
      </c>
      <c r="H339" s="93">
        <v>44645.563194444447</v>
      </c>
      <c r="I339" s="93">
        <v>44645.333333333336</v>
      </c>
    </row>
    <row r="340" spans="1:9" x14ac:dyDescent="0.25">
      <c r="A340" s="69">
        <v>307</v>
      </c>
      <c r="B340" s="89" t="s">
        <v>401</v>
      </c>
      <c r="C340" s="90">
        <v>52789839</v>
      </c>
      <c r="D340" s="90">
        <v>52794056</v>
      </c>
      <c r="E340" s="90" t="s">
        <v>108</v>
      </c>
      <c r="F340" s="92">
        <v>2.3692129629629629E-2</v>
      </c>
      <c r="G340" s="93">
        <v>44645.563194444447</v>
      </c>
      <c r="H340" s="93">
        <v>44645.586805555555</v>
      </c>
      <c r="I340" s="93">
        <v>44645.333333333336</v>
      </c>
    </row>
    <row r="341" spans="1:9" x14ac:dyDescent="0.25">
      <c r="A341" s="70">
        <v>308</v>
      </c>
      <c r="B341" s="89" t="s">
        <v>393</v>
      </c>
      <c r="C341" s="90">
        <v>52789833</v>
      </c>
      <c r="D341" s="90">
        <v>52794056</v>
      </c>
      <c r="E341" s="90" t="s">
        <v>108</v>
      </c>
      <c r="F341" s="92">
        <v>1.1574074074074073E-5</v>
      </c>
      <c r="G341" s="93">
        <v>44645.563194444447</v>
      </c>
      <c r="H341" s="93">
        <v>44645.563194444447</v>
      </c>
      <c r="I341" s="93">
        <v>44645.333333333336</v>
      </c>
    </row>
    <row r="342" spans="1:9" x14ac:dyDescent="0.25">
      <c r="A342" s="69">
        <v>309</v>
      </c>
      <c r="B342" s="89" t="s">
        <v>96</v>
      </c>
      <c r="C342" s="90">
        <v>52789832</v>
      </c>
      <c r="D342" s="90">
        <v>52794056</v>
      </c>
      <c r="E342" s="90" t="s">
        <v>108</v>
      </c>
      <c r="F342" s="92">
        <v>5.3067129629629638E-2</v>
      </c>
      <c r="G342" s="93">
        <v>44645.563194444447</v>
      </c>
      <c r="H342" s="93">
        <v>44645.615972222222</v>
      </c>
      <c r="I342" s="93">
        <v>44645.333333333336</v>
      </c>
    </row>
    <row r="343" spans="1:9" x14ac:dyDescent="0.25">
      <c r="A343" s="70">
        <v>310</v>
      </c>
      <c r="B343" s="94" t="s">
        <v>394</v>
      </c>
      <c r="C343" s="90">
        <v>52799404</v>
      </c>
      <c r="D343" s="90">
        <v>52789832</v>
      </c>
      <c r="E343" s="90" t="s">
        <v>108</v>
      </c>
      <c r="F343" s="92">
        <v>1.1574074074074073E-5</v>
      </c>
      <c r="G343" s="93">
        <v>44645.615972222222</v>
      </c>
      <c r="H343" s="93">
        <v>44645.615972222222</v>
      </c>
      <c r="I343" s="93">
        <v>44645.563194444447</v>
      </c>
    </row>
    <row r="344" spans="1:9" x14ac:dyDescent="0.25">
      <c r="A344" s="69">
        <v>311</v>
      </c>
      <c r="B344" s="94" t="s">
        <v>395</v>
      </c>
      <c r="C344" s="90">
        <v>52800041</v>
      </c>
      <c r="D344" s="90">
        <v>52789832</v>
      </c>
      <c r="E344" s="90" t="s">
        <v>108</v>
      </c>
      <c r="F344" s="92">
        <v>6.7129629629629625E-4</v>
      </c>
      <c r="G344" s="93">
        <v>44645.615277777775</v>
      </c>
      <c r="H344" s="93">
        <v>44645.615972222222</v>
      </c>
      <c r="I344" s="93">
        <v>44645.563194444447</v>
      </c>
    </row>
    <row r="345" spans="1:9" x14ac:dyDescent="0.25">
      <c r="A345" s="70">
        <v>312</v>
      </c>
      <c r="B345" s="94" t="s">
        <v>397</v>
      </c>
      <c r="C345" s="90">
        <v>52800039</v>
      </c>
      <c r="D345" s="90">
        <v>52789832</v>
      </c>
      <c r="E345" s="90" t="s">
        <v>108</v>
      </c>
      <c r="F345" s="92">
        <v>9.2592592592592588E-5</v>
      </c>
      <c r="G345" s="93">
        <v>44645.606944444444</v>
      </c>
      <c r="H345" s="93">
        <v>44645.606944444444</v>
      </c>
      <c r="I345" s="93">
        <v>44645.563194444447</v>
      </c>
    </row>
    <row r="346" spans="1:9" x14ac:dyDescent="0.25">
      <c r="A346" s="69">
        <v>313</v>
      </c>
      <c r="B346" s="94" t="s">
        <v>396</v>
      </c>
      <c r="C346" s="90">
        <v>52800040</v>
      </c>
      <c r="D346" s="90">
        <v>52789832</v>
      </c>
      <c r="E346" s="90" t="s">
        <v>108</v>
      </c>
      <c r="F346" s="92">
        <v>8.5416666666666679E-3</v>
      </c>
      <c r="G346" s="93">
        <v>44645.606944444444</v>
      </c>
      <c r="H346" s="93">
        <v>44645.615277777775</v>
      </c>
      <c r="I346" s="93">
        <v>44645.563194444447</v>
      </c>
    </row>
    <row r="347" spans="1:9" x14ac:dyDescent="0.25">
      <c r="A347" s="70">
        <v>314</v>
      </c>
      <c r="B347" s="94" t="s">
        <v>398</v>
      </c>
      <c r="C347" s="90">
        <v>52798471</v>
      </c>
      <c r="D347" s="90">
        <v>52789832</v>
      </c>
      <c r="E347" s="90" t="s">
        <v>108</v>
      </c>
      <c r="F347" s="92">
        <v>4.2847222222222224E-2</v>
      </c>
      <c r="G347" s="93">
        <v>44645.563888888886</v>
      </c>
      <c r="H347" s="93">
        <v>44645.606944444444</v>
      </c>
      <c r="I347" s="93">
        <v>44645.563194444447</v>
      </c>
    </row>
    <row r="348" spans="1:9" x14ac:dyDescent="0.25">
      <c r="A348" s="69">
        <v>315</v>
      </c>
      <c r="B348" s="94" t="s">
        <v>399</v>
      </c>
      <c r="C348" s="90">
        <v>52798470</v>
      </c>
      <c r="D348" s="90">
        <v>52789832</v>
      </c>
      <c r="E348" s="90" t="s">
        <v>108</v>
      </c>
      <c r="F348" s="92">
        <v>1.1574074074074073E-5</v>
      </c>
      <c r="G348" s="93">
        <v>44645.563888888886</v>
      </c>
      <c r="H348" s="93">
        <v>44645.563888888886</v>
      </c>
      <c r="I348" s="93">
        <v>44645.563194444447</v>
      </c>
    </row>
    <row r="349" spans="1:9" x14ac:dyDescent="0.25">
      <c r="A349" s="70">
        <v>316</v>
      </c>
      <c r="B349" s="94" t="s">
        <v>400</v>
      </c>
      <c r="C349" s="90">
        <v>52798469</v>
      </c>
      <c r="D349" s="90">
        <v>52789832</v>
      </c>
      <c r="E349" s="90" t="s">
        <v>108</v>
      </c>
      <c r="F349" s="92">
        <v>1.1574074074074073E-5</v>
      </c>
      <c r="G349" s="93">
        <v>44645.563194444447</v>
      </c>
      <c r="H349" s="93">
        <v>44645.563194444447</v>
      </c>
      <c r="I349" s="93">
        <v>44645.563194444447</v>
      </c>
    </row>
    <row r="350" spans="1:9" x14ac:dyDescent="0.25">
      <c r="A350" s="69">
        <v>317</v>
      </c>
      <c r="B350" s="89" t="s">
        <v>95</v>
      </c>
      <c r="C350" s="90">
        <v>52789834</v>
      </c>
      <c r="D350" s="90">
        <v>52794056</v>
      </c>
      <c r="E350" s="90" t="s">
        <v>108</v>
      </c>
      <c r="F350" s="92">
        <v>7.662037037037038E-2</v>
      </c>
      <c r="G350" s="93">
        <v>44645.563194444447</v>
      </c>
      <c r="H350" s="93">
        <v>44645.63958333333</v>
      </c>
      <c r="I350" s="93">
        <v>44645.333333333336</v>
      </c>
    </row>
    <row r="351" spans="1:9" x14ac:dyDescent="0.25">
      <c r="A351" s="70">
        <v>318</v>
      </c>
      <c r="B351" s="94" t="s">
        <v>389</v>
      </c>
      <c r="C351" s="90">
        <v>52789838</v>
      </c>
      <c r="D351" s="90">
        <v>52789834</v>
      </c>
      <c r="E351" s="90" t="s">
        <v>108</v>
      </c>
      <c r="F351" s="92">
        <v>2.6238425925925925E-2</v>
      </c>
      <c r="G351" s="93">
        <v>44645.613194444442</v>
      </c>
      <c r="H351" s="93">
        <v>44645.63958333333</v>
      </c>
      <c r="I351" s="93">
        <v>44645.333333333336</v>
      </c>
    </row>
    <row r="352" spans="1:9" x14ac:dyDescent="0.25">
      <c r="A352" s="69">
        <v>319</v>
      </c>
      <c r="B352" s="94" t="s">
        <v>390</v>
      </c>
      <c r="C352" s="90">
        <v>52789837</v>
      </c>
      <c r="D352" s="90">
        <v>52789834</v>
      </c>
      <c r="E352" s="90" t="s">
        <v>108</v>
      </c>
      <c r="F352" s="92">
        <v>3.4722222222222224E-4</v>
      </c>
      <c r="G352" s="93">
        <v>44645.613194444442</v>
      </c>
      <c r="H352" s="93">
        <v>44645.613194444442</v>
      </c>
      <c r="I352" s="93">
        <v>44645.333333333336</v>
      </c>
    </row>
    <row r="353" spans="1:9" x14ac:dyDescent="0.25">
      <c r="A353" s="70">
        <v>320</v>
      </c>
      <c r="B353" s="94" t="s">
        <v>391</v>
      </c>
      <c r="C353" s="90">
        <v>52789836</v>
      </c>
      <c r="D353" s="90">
        <v>52789834</v>
      </c>
      <c r="E353" s="90" t="s">
        <v>108</v>
      </c>
      <c r="F353" s="92">
        <v>4.9652777777777775E-2</v>
      </c>
      <c r="G353" s="93">
        <v>44645.563194444447</v>
      </c>
      <c r="H353" s="93">
        <v>44645.613194444442</v>
      </c>
      <c r="I353" s="93">
        <v>44645.333333333336</v>
      </c>
    </row>
    <row r="354" spans="1:9" x14ac:dyDescent="0.25">
      <c r="A354" s="69">
        <v>321</v>
      </c>
      <c r="B354" s="94" t="s">
        <v>392</v>
      </c>
      <c r="C354" s="90">
        <v>52789835</v>
      </c>
      <c r="D354" s="90">
        <v>52789834</v>
      </c>
      <c r="E354" s="90" t="s">
        <v>108</v>
      </c>
      <c r="F354" s="92">
        <v>3.4722222222222224E-4</v>
      </c>
      <c r="G354" s="93">
        <v>44645.563194444447</v>
      </c>
      <c r="H354" s="93">
        <v>44645.563194444447</v>
      </c>
      <c r="I354" s="93">
        <v>44645.333333333336</v>
      </c>
    </row>
    <row r="355" spans="1:9" x14ac:dyDescent="0.25">
      <c r="A355" s="70">
        <v>322</v>
      </c>
      <c r="B355" s="89" t="s">
        <v>402</v>
      </c>
      <c r="C355" s="90">
        <v>52793259</v>
      </c>
      <c r="D355" s="91"/>
      <c r="E355" s="90" t="s">
        <v>108</v>
      </c>
      <c r="F355" s="92">
        <v>1.1574074074074073E-5</v>
      </c>
      <c r="G355" s="93">
        <v>44645.334027777775</v>
      </c>
      <c r="H355" s="93">
        <v>44645.334027777775</v>
      </c>
      <c r="I355" s="93">
        <v>44645.334027777775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965C-6894-4308-8EB8-2F5F506DAFA1}">
  <dimension ref="A2:M353"/>
  <sheetViews>
    <sheetView zoomScale="90" zoomScaleNormal="90" workbookViewId="0">
      <selection activeCell="K2" sqref="K2:M28"/>
    </sheetView>
  </sheetViews>
  <sheetFormatPr defaultRowHeight="15" x14ac:dyDescent="0.25"/>
  <cols>
    <col min="2" max="2" width="44.5703125" customWidth="1"/>
    <col min="3" max="3" width="10.85546875" customWidth="1"/>
    <col min="4" max="4" width="17.7109375" customWidth="1"/>
    <col min="5" max="5" width="16.7109375" customWidth="1"/>
    <col min="6" max="6" width="11.7109375" customWidth="1"/>
    <col min="7" max="7" width="17" customWidth="1"/>
    <col min="8" max="9" width="18.42578125" customWidth="1"/>
    <col min="10" max="10" width="17.85546875" customWidth="1"/>
    <col min="11" max="11" width="15.140625" bestFit="1" customWidth="1"/>
    <col min="12" max="12" width="16.140625" customWidth="1"/>
    <col min="13" max="13" width="20.85546875" customWidth="1"/>
  </cols>
  <sheetData>
    <row r="2" spans="2:13" x14ac:dyDescent="0.25">
      <c r="B2" s="51" t="s">
        <v>68</v>
      </c>
      <c r="C2" s="87">
        <v>0.28436342592592595</v>
      </c>
      <c r="D2" s="88">
        <v>44669.395833333336</v>
      </c>
      <c r="E2" s="88">
        <v>44669.680555555555</v>
      </c>
      <c r="F2" s="64"/>
      <c r="G2" s="52">
        <f>C2</f>
        <v>0.28436342592592595</v>
      </c>
      <c r="H2" s="54">
        <f>D2+"00:30:00"</f>
        <v>44669.416666666672</v>
      </c>
      <c r="I2" s="54">
        <f>E2+"00:30:00"</f>
        <v>44669.701388888891</v>
      </c>
      <c r="K2" s="52">
        <f>M2-L2</f>
        <v>0.34999999999126885</v>
      </c>
      <c r="L2" s="54">
        <v>44669.416666666672</v>
      </c>
      <c r="M2" s="54">
        <f>M27</f>
        <v>44669.766666666663</v>
      </c>
    </row>
    <row r="3" spans="2:13" x14ac:dyDescent="0.25">
      <c r="B3" s="55" t="s">
        <v>69</v>
      </c>
      <c r="C3" s="79">
        <v>3.2280092592592589E-2</v>
      </c>
      <c r="D3" s="80">
        <v>44669.395833333336</v>
      </c>
      <c r="E3" s="80">
        <v>44669.428472222222</v>
      </c>
      <c r="G3" s="52">
        <f>C3</f>
        <v>3.2280092592592589E-2</v>
      </c>
      <c r="H3" s="54">
        <f t="shared" ref="H3" si="0">D3+"00:30:00"</f>
        <v>44669.416666666672</v>
      </c>
      <c r="I3" s="54">
        <f>E3+"00:51:00"</f>
        <v>44669.463888888888</v>
      </c>
      <c r="K3" s="52">
        <v>4.7557870370370368E-2</v>
      </c>
      <c r="L3" s="54">
        <v>44669.416666666672</v>
      </c>
      <c r="M3" s="54">
        <v>44669.463888888888</v>
      </c>
    </row>
    <row r="4" spans="2:13" x14ac:dyDescent="0.25">
      <c r="B4" s="58" t="s">
        <v>70</v>
      </c>
      <c r="C4" s="79">
        <v>1.4699074074074074E-3</v>
      </c>
      <c r="D4" s="80">
        <v>44669.433333333334</v>
      </c>
      <c r="E4" s="80">
        <v>44669.43472222222</v>
      </c>
      <c r="F4" s="59"/>
      <c r="G4" s="52">
        <f>C4</f>
        <v>1.4699074074074074E-3</v>
      </c>
      <c r="H4" s="54">
        <f>D4+"00:51:00"</f>
        <v>44669.46875</v>
      </c>
      <c r="I4" s="54">
        <f t="shared" ref="I4:I6" si="1">E4+"00:51:00"</f>
        <v>44669.470138888886</v>
      </c>
      <c r="K4" s="52">
        <v>1.4699074074074074E-3</v>
      </c>
      <c r="L4" s="54">
        <v>44669.46875</v>
      </c>
      <c r="M4" s="54">
        <v>44669.470138888886</v>
      </c>
    </row>
    <row r="5" spans="2:13" x14ac:dyDescent="0.25">
      <c r="B5" s="58" t="s">
        <v>71</v>
      </c>
      <c r="C5" s="79">
        <v>1.1666666666666667E-2</v>
      </c>
      <c r="D5" s="80">
        <v>44669.433333333334</v>
      </c>
      <c r="E5" s="80">
        <v>44669.445138888892</v>
      </c>
      <c r="F5" s="59"/>
      <c r="G5" s="52">
        <f>C5</f>
        <v>1.1666666666666667E-2</v>
      </c>
      <c r="H5" s="54">
        <f t="shared" ref="H5:H6" si="2">D5+"00:51:00"</f>
        <v>44669.46875</v>
      </c>
      <c r="I5" s="54">
        <f t="shared" si="1"/>
        <v>44669.480555555558</v>
      </c>
      <c r="K5" s="52">
        <v>1.1666666666666667E-2</v>
      </c>
      <c r="L5" s="54">
        <v>44669.46875</v>
      </c>
      <c r="M5" s="54">
        <v>44669.480555555558</v>
      </c>
    </row>
    <row r="6" spans="2:13" ht="15.75" x14ac:dyDescent="0.25">
      <c r="B6" s="61" t="s">
        <v>73</v>
      </c>
      <c r="C6" s="79">
        <v>3.8541666666666668E-3</v>
      </c>
      <c r="D6" s="80">
        <v>44669.445138888892</v>
      </c>
      <c r="E6" s="80">
        <v>44669.449305555558</v>
      </c>
      <c r="G6" s="52">
        <f t="shared" ref="G6:G28" si="3">C6</f>
        <v>3.8541666666666668E-3</v>
      </c>
      <c r="H6" s="54">
        <f t="shared" si="2"/>
        <v>44669.480555555558</v>
      </c>
      <c r="I6" s="54">
        <f t="shared" si="1"/>
        <v>44669.484722222223</v>
      </c>
      <c r="K6" s="52">
        <v>3.8541666666666668E-3</v>
      </c>
      <c r="L6" s="54">
        <v>44669.480555555558</v>
      </c>
      <c r="M6" s="54">
        <v>44669.484722222223</v>
      </c>
    </row>
    <row r="7" spans="2:13" ht="15.75" x14ac:dyDescent="0.25">
      <c r="B7" s="62" t="s">
        <v>74</v>
      </c>
      <c r="G7" s="52"/>
      <c r="H7" s="54"/>
      <c r="I7" s="54"/>
      <c r="K7" s="60">
        <f>M7-L7</f>
        <v>5.0694444449618459E-2</v>
      </c>
      <c r="L7" s="54">
        <f>M4</f>
        <v>44669.470138888886</v>
      </c>
      <c r="M7" s="54">
        <v>44669.520833333336</v>
      </c>
    </row>
    <row r="8" spans="2:13" x14ac:dyDescent="0.25">
      <c r="B8" s="58" t="s">
        <v>75</v>
      </c>
      <c r="C8" s="52">
        <v>6.0162037037037042E-2</v>
      </c>
      <c r="D8" s="53">
        <v>44669.43472222222</v>
      </c>
      <c r="E8" s="53">
        <v>44669.495138888888</v>
      </c>
      <c r="G8" s="52">
        <f t="shared" si="3"/>
        <v>6.0162037037037042E-2</v>
      </c>
      <c r="H8" s="54">
        <f>D8+"00:51:00"</f>
        <v>44669.470138888886</v>
      </c>
      <c r="I8" s="54">
        <f t="shared" ref="I8:I28" si="4">E8+"00:51:00"</f>
        <v>44669.530555555553</v>
      </c>
      <c r="K8" s="60">
        <v>6.0162037037037042E-2</v>
      </c>
      <c r="L8" s="54">
        <f>H8+"01:13:00"</f>
        <v>44669.520833333328</v>
      </c>
      <c r="M8" s="54">
        <f t="shared" ref="M8:M28" si="5">I8+"01:13:00"</f>
        <v>44669.581249999996</v>
      </c>
    </row>
    <row r="9" spans="2:13" ht="15.75" x14ac:dyDescent="0.25">
      <c r="B9" s="61" t="s">
        <v>76</v>
      </c>
      <c r="C9" s="60">
        <v>7.407407407407407E-4</v>
      </c>
      <c r="D9" s="54">
        <v>44669.494444444441</v>
      </c>
      <c r="E9" s="54">
        <v>44669.495138888888</v>
      </c>
      <c r="F9" s="59"/>
      <c r="G9" s="52">
        <f t="shared" si="3"/>
        <v>7.407407407407407E-4</v>
      </c>
      <c r="H9" s="54">
        <f t="shared" ref="H9:H28" si="6">D9+"00:51:00"</f>
        <v>44669.529861111107</v>
      </c>
      <c r="I9" s="54">
        <f t="shared" si="4"/>
        <v>44669.530555555553</v>
      </c>
      <c r="K9" s="60">
        <v>7.407407407407407E-4</v>
      </c>
      <c r="L9" s="54">
        <f t="shared" ref="L9:L28" si="7">H9+"01:13:00"</f>
        <v>44669.580555555549</v>
      </c>
      <c r="M9" s="54">
        <f t="shared" si="5"/>
        <v>44669.581249999996</v>
      </c>
    </row>
    <row r="10" spans="2:13" x14ac:dyDescent="0.25">
      <c r="B10" s="55" t="s">
        <v>77</v>
      </c>
      <c r="C10" s="79">
        <v>0.14581018518518518</v>
      </c>
      <c r="D10" s="80">
        <v>44669.451388888891</v>
      </c>
      <c r="E10" s="80">
        <v>44669.597222222219</v>
      </c>
      <c r="F10" s="63"/>
      <c r="G10" s="52">
        <f t="shared" si="3"/>
        <v>0.14581018518518518</v>
      </c>
      <c r="H10" s="54">
        <f t="shared" si="6"/>
        <v>44669.486805555556</v>
      </c>
      <c r="I10" s="54">
        <f t="shared" si="4"/>
        <v>44669.632638888885</v>
      </c>
      <c r="K10" s="60">
        <v>0.14581018518518518</v>
      </c>
      <c r="L10" s="54">
        <f t="shared" si="7"/>
        <v>44669.537499999999</v>
      </c>
      <c r="M10" s="54">
        <f t="shared" si="5"/>
        <v>44669.683333333327</v>
      </c>
    </row>
    <row r="11" spans="2:13" x14ac:dyDescent="0.25">
      <c r="B11" s="58" t="s">
        <v>78</v>
      </c>
      <c r="C11" s="92">
        <v>8.6041666666666669E-2</v>
      </c>
      <c r="D11" s="93">
        <v>44669.449305555558</v>
      </c>
      <c r="E11" s="93">
        <v>44669.534722222219</v>
      </c>
      <c r="G11" s="52">
        <f t="shared" si="3"/>
        <v>8.6041666666666669E-2</v>
      </c>
      <c r="H11" s="54">
        <f t="shared" si="6"/>
        <v>44669.484722222223</v>
      </c>
      <c r="I11" s="54">
        <f t="shared" si="4"/>
        <v>44669.570138888885</v>
      </c>
      <c r="K11" s="60">
        <v>8.6041666666666669E-2</v>
      </c>
      <c r="L11" s="54">
        <f t="shared" si="7"/>
        <v>44669.535416666666</v>
      </c>
      <c r="M11" s="54">
        <f t="shared" si="5"/>
        <v>44669.620833333327</v>
      </c>
    </row>
    <row r="12" spans="2:13" x14ac:dyDescent="0.25">
      <c r="B12" s="55" t="s">
        <v>79</v>
      </c>
      <c r="C12" s="79">
        <v>7.3379629629629628E-3</v>
      </c>
      <c r="D12" s="80">
        <v>44669.495833333334</v>
      </c>
      <c r="E12" s="80">
        <v>44669.50277777778</v>
      </c>
      <c r="G12" s="52">
        <f>C12</f>
        <v>7.3379629629629628E-3</v>
      </c>
      <c r="H12" s="54">
        <f t="shared" si="6"/>
        <v>44669.53125</v>
      </c>
      <c r="I12" s="54">
        <f t="shared" si="4"/>
        <v>44669.538194444445</v>
      </c>
      <c r="K12" s="60">
        <v>7.3379629629629628E-3</v>
      </c>
      <c r="L12" s="54">
        <f t="shared" si="7"/>
        <v>44669.581944444442</v>
      </c>
      <c r="M12" s="54">
        <f t="shared" si="5"/>
        <v>44669.588888888888</v>
      </c>
    </row>
    <row r="13" spans="2:13" x14ac:dyDescent="0.25">
      <c r="B13" s="58" t="s">
        <v>80</v>
      </c>
      <c r="C13" s="60">
        <v>1.9664351851851853E-2</v>
      </c>
      <c r="D13" s="54">
        <v>44669.50277777778</v>
      </c>
      <c r="E13" s="54">
        <v>44669.522222222222</v>
      </c>
      <c r="G13" s="52">
        <f t="shared" si="3"/>
        <v>1.9664351851851853E-2</v>
      </c>
      <c r="H13" s="54">
        <f t="shared" si="6"/>
        <v>44669.538194444445</v>
      </c>
      <c r="I13" s="54">
        <f t="shared" si="4"/>
        <v>44669.557638888888</v>
      </c>
      <c r="K13" s="60">
        <v>1.9664351851851853E-2</v>
      </c>
      <c r="L13" s="54">
        <f t="shared" si="7"/>
        <v>44669.588888888888</v>
      </c>
      <c r="M13" s="54">
        <f t="shared" si="5"/>
        <v>44669.60833333333</v>
      </c>
    </row>
    <row r="14" spans="2:13" ht="15.75" x14ac:dyDescent="0.25">
      <c r="B14" s="61" t="s">
        <v>81</v>
      </c>
      <c r="C14" s="52">
        <v>4.5138888888888892E-4</v>
      </c>
      <c r="D14" s="53">
        <v>44669.505555555559</v>
      </c>
      <c r="E14" s="53">
        <v>44669.505555555559</v>
      </c>
      <c r="G14" s="52">
        <f t="shared" si="3"/>
        <v>4.5138888888888892E-4</v>
      </c>
      <c r="H14" s="54">
        <f t="shared" si="6"/>
        <v>44669.540972222225</v>
      </c>
      <c r="I14" s="54">
        <f t="shared" si="4"/>
        <v>44669.540972222225</v>
      </c>
      <c r="K14" s="60">
        <v>4.5138888888888892E-4</v>
      </c>
      <c r="L14" s="54">
        <f t="shared" si="7"/>
        <v>44669.591666666667</v>
      </c>
      <c r="M14" s="54">
        <f t="shared" si="5"/>
        <v>44669.591666666667</v>
      </c>
    </row>
    <row r="15" spans="2:13" ht="15.75" x14ac:dyDescent="0.25">
      <c r="B15" s="61" t="s">
        <v>82</v>
      </c>
      <c r="C15" s="52">
        <v>1.3194444444444444E-2</v>
      </c>
      <c r="D15" s="53">
        <v>44669.504861111112</v>
      </c>
      <c r="E15" s="53">
        <v>44669.518055555556</v>
      </c>
      <c r="G15" s="52">
        <f t="shared" si="3"/>
        <v>1.3194444444444444E-2</v>
      </c>
      <c r="H15" s="54">
        <f t="shared" si="6"/>
        <v>44669.540277777778</v>
      </c>
      <c r="I15" s="54">
        <f t="shared" si="4"/>
        <v>44669.553472222222</v>
      </c>
      <c r="K15" s="60">
        <v>1.3194444444444444E-2</v>
      </c>
      <c r="L15" s="54">
        <f t="shared" si="7"/>
        <v>44669.59097222222</v>
      </c>
      <c r="M15" s="54">
        <f t="shared" si="5"/>
        <v>44669.604166666664</v>
      </c>
    </row>
    <row r="16" spans="2:13" ht="15.75" x14ac:dyDescent="0.25">
      <c r="B16" s="61" t="s">
        <v>83</v>
      </c>
      <c r="C16" s="52">
        <v>5.3240740740740744E-4</v>
      </c>
      <c r="D16" s="53">
        <v>44669.522222222222</v>
      </c>
      <c r="E16" s="53">
        <v>44669.522222222222</v>
      </c>
      <c r="G16" s="52">
        <f t="shared" si="3"/>
        <v>5.3240740740740744E-4</v>
      </c>
      <c r="H16" s="54">
        <f t="shared" si="6"/>
        <v>44669.557638888888</v>
      </c>
      <c r="I16" s="54">
        <f t="shared" si="4"/>
        <v>44669.557638888888</v>
      </c>
      <c r="K16" s="60">
        <v>5.3240740740740744E-4</v>
      </c>
      <c r="L16" s="54">
        <f t="shared" si="7"/>
        <v>44669.60833333333</v>
      </c>
      <c r="M16" s="54">
        <f t="shared" si="5"/>
        <v>44669.60833333333</v>
      </c>
    </row>
    <row r="17" spans="1:13" x14ac:dyDescent="0.25">
      <c r="B17" s="58" t="s">
        <v>84</v>
      </c>
      <c r="C17" s="79">
        <v>5.7847222222222223E-2</v>
      </c>
      <c r="D17" s="80">
        <v>44669.522916666669</v>
      </c>
      <c r="E17" s="80">
        <v>44669.580555555556</v>
      </c>
      <c r="G17" s="52">
        <f t="shared" si="3"/>
        <v>5.7847222222222223E-2</v>
      </c>
      <c r="H17" s="54">
        <f t="shared" si="6"/>
        <v>44669.558333333334</v>
      </c>
      <c r="I17" s="54">
        <f t="shared" si="4"/>
        <v>44669.615972222222</v>
      </c>
      <c r="K17" s="60">
        <v>5.7847222222222223E-2</v>
      </c>
      <c r="L17" s="54">
        <f t="shared" si="7"/>
        <v>44669.609027777777</v>
      </c>
      <c r="M17" s="54">
        <f t="shared" si="5"/>
        <v>44669.666666666664</v>
      </c>
    </row>
    <row r="18" spans="1:13" x14ac:dyDescent="0.25">
      <c r="B18" s="58" t="s">
        <v>85</v>
      </c>
      <c r="C18" s="79">
        <v>3.5034722222222224E-2</v>
      </c>
      <c r="D18" s="80">
        <v>44669.50277777778</v>
      </c>
      <c r="E18" s="80">
        <v>44669.538194444445</v>
      </c>
      <c r="F18" s="64"/>
      <c r="G18" s="52">
        <f t="shared" si="3"/>
        <v>3.5034722222222224E-2</v>
      </c>
      <c r="H18" s="54">
        <f t="shared" si="6"/>
        <v>44669.538194444445</v>
      </c>
      <c r="I18" s="54">
        <f t="shared" si="4"/>
        <v>44669.573611111111</v>
      </c>
      <c r="K18" s="60">
        <v>3.5034722222222224E-2</v>
      </c>
      <c r="L18" s="54">
        <f t="shared" si="7"/>
        <v>44669.588888888888</v>
      </c>
      <c r="M18" s="54">
        <f t="shared" si="5"/>
        <v>44669.624305555553</v>
      </c>
    </row>
    <row r="19" spans="1:13" ht="15.75" x14ac:dyDescent="0.25">
      <c r="B19" s="61" t="s">
        <v>86</v>
      </c>
      <c r="C19" s="52">
        <v>8.564814814814815E-4</v>
      </c>
      <c r="D19" s="53">
        <v>44669.527777777781</v>
      </c>
      <c r="E19" s="53">
        <v>44669.52847222222</v>
      </c>
      <c r="G19" s="52">
        <f t="shared" si="3"/>
        <v>8.564814814814815E-4</v>
      </c>
      <c r="H19" s="54">
        <f t="shared" si="6"/>
        <v>44669.563194444447</v>
      </c>
      <c r="I19" s="54">
        <f t="shared" si="4"/>
        <v>44669.563888888886</v>
      </c>
      <c r="K19" s="60">
        <v>8.564814814814815E-4</v>
      </c>
      <c r="L19" s="54">
        <f t="shared" si="7"/>
        <v>44669.613888888889</v>
      </c>
      <c r="M19" s="54">
        <f t="shared" si="5"/>
        <v>44669.614583333328</v>
      </c>
    </row>
    <row r="20" spans="1:13" ht="15.75" x14ac:dyDescent="0.25">
      <c r="B20" s="65" t="s">
        <v>87</v>
      </c>
      <c r="C20" s="52">
        <v>2.4421296296296296E-3</v>
      </c>
      <c r="D20" s="53">
        <v>44669.520138888889</v>
      </c>
      <c r="E20" s="53">
        <v>44669.522916666669</v>
      </c>
      <c r="G20" s="52">
        <f t="shared" si="3"/>
        <v>2.4421296296296296E-3</v>
      </c>
      <c r="H20" s="54">
        <f t="shared" si="6"/>
        <v>44669.555555555555</v>
      </c>
      <c r="I20" s="54">
        <f t="shared" si="4"/>
        <v>44669.558333333334</v>
      </c>
      <c r="K20" s="60">
        <v>2.4421296296296296E-3</v>
      </c>
      <c r="L20" s="54">
        <f t="shared" si="7"/>
        <v>44669.606249999997</v>
      </c>
      <c r="M20" s="54">
        <f t="shared" si="5"/>
        <v>44669.609027777777</v>
      </c>
    </row>
    <row r="21" spans="1:13" x14ac:dyDescent="0.25">
      <c r="B21" s="58" t="s">
        <v>88</v>
      </c>
      <c r="C21" s="79">
        <v>7.1643518518518514E-3</v>
      </c>
      <c r="D21" s="80">
        <v>44669.580555555556</v>
      </c>
      <c r="E21" s="80">
        <v>44669.587500000001</v>
      </c>
      <c r="G21" s="52">
        <f t="shared" si="3"/>
        <v>7.1643518518518514E-3</v>
      </c>
      <c r="H21" s="54">
        <f t="shared" si="6"/>
        <v>44669.615972222222</v>
      </c>
      <c r="I21" s="54">
        <f t="shared" si="4"/>
        <v>44669.622916666667</v>
      </c>
      <c r="K21" s="60">
        <v>7.1643518518518514E-3</v>
      </c>
      <c r="L21" s="54">
        <f t="shared" si="7"/>
        <v>44669.666666666664</v>
      </c>
      <c r="M21" s="54">
        <f t="shared" si="5"/>
        <v>44669.673611111109</v>
      </c>
    </row>
    <row r="22" spans="1:13" x14ac:dyDescent="0.25">
      <c r="B22" s="55" t="s">
        <v>89</v>
      </c>
      <c r="C22" s="79">
        <v>2.3067129629629632E-2</v>
      </c>
      <c r="D22" s="80">
        <v>44669.50277777778</v>
      </c>
      <c r="E22" s="80">
        <v>44669.525694444441</v>
      </c>
      <c r="F22" s="59"/>
      <c r="G22" s="52">
        <f t="shared" si="3"/>
        <v>2.3067129629629632E-2</v>
      </c>
      <c r="H22" s="54">
        <f t="shared" si="6"/>
        <v>44669.538194444445</v>
      </c>
      <c r="I22" s="54">
        <f t="shared" si="4"/>
        <v>44669.561111111107</v>
      </c>
      <c r="K22" s="60">
        <v>2.3067129629629632E-2</v>
      </c>
      <c r="L22" s="54">
        <f t="shared" si="7"/>
        <v>44669.588888888888</v>
      </c>
      <c r="M22" s="54">
        <f t="shared" si="5"/>
        <v>44669.611805555549</v>
      </c>
    </row>
    <row r="23" spans="1:13" ht="15.75" x14ac:dyDescent="0.25">
      <c r="B23" s="61" t="s">
        <v>90</v>
      </c>
      <c r="C23" s="52">
        <v>2.615740740740741E-3</v>
      </c>
      <c r="D23" s="53">
        <v>44669.522916666669</v>
      </c>
      <c r="E23" s="53">
        <v>44669.525694444441</v>
      </c>
      <c r="G23" s="52">
        <f t="shared" si="3"/>
        <v>2.615740740740741E-3</v>
      </c>
      <c r="H23" s="54">
        <f t="shared" si="6"/>
        <v>44669.558333333334</v>
      </c>
      <c r="I23" s="54">
        <f t="shared" si="4"/>
        <v>44669.561111111107</v>
      </c>
      <c r="K23" s="60">
        <v>2.615740740740741E-3</v>
      </c>
      <c r="L23" s="54">
        <f t="shared" si="7"/>
        <v>44669.609027777777</v>
      </c>
      <c r="M23" s="54">
        <f t="shared" si="5"/>
        <v>44669.611805555549</v>
      </c>
    </row>
    <row r="24" spans="1:13" ht="15.75" x14ac:dyDescent="0.25">
      <c r="B24" s="61" t="s">
        <v>91</v>
      </c>
      <c r="C24" s="52">
        <v>1.5046296296296297E-4</v>
      </c>
      <c r="D24" s="53">
        <v>44669.525694444441</v>
      </c>
      <c r="E24" s="53">
        <v>44669.525694444441</v>
      </c>
      <c r="G24" s="52">
        <f t="shared" si="3"/>
        <v>1.5046296296296297E-4</v>
      </c>
      <c r="H24" s="54">
        <f t="shared" si="6"/>
        <v>44669.561111111107</v>
      </c>
      <c r="I24" s="54">
        <f t="shared" si="4"/>
        <v>44669.561111111107</v>
      </c>
      <c r="K24" s="60">
        <v>1.5046296296296297E-4</v>
      </c>
      <c r="L24" s="54">
        <f t="shared" si="7"/>
        <v>44669.611805555549</v>
      </c>
      <c r="M24" s="54">
        <f t="shared" si="5"/>
        <v>44669.611805555549</v>
      </c>
    </row>
    <row r="25" spans="1:13" x14ac:dyDescent="0.25">
      <c r="A25" t="s">
        <v>92</v>
      </c>
      <c r="B25" s="55" t="s">
        <v>93</v>
      </c>
      <c r="C25" s="60">
        <v>1.9618055555555555E-2</v>
      </c>
      <c r="D25" s="54">
        <v>44669.474999999999</v>
      </c>
      <c r="E25" s="54">
        <v>44669.494444444441</v>
      </c>
      <c r="F25" s="66"/>
      <c r="G25" s="52">
        <f t="shared" si="3"/>
        <v>1.9618055555555555E-2</v>
      </c>
      <c r="H25" s="54">
        <f t="shared" si="6"/>
        <v>44669.510416666664</v>
      </c>
      <c r="I25" s="54">
        <f t="shared" si="4"/>
        <v>44669.529861111107</v>
      </c>
      <c r="K25" s="60">
        <v>1.9618055555555555E-2</v>
      </c>
      <c r="L25" s="54">
        <f t="shared" si="7"/>
        <v>44669.561111111107</v>
      </c>
      <c r="M25" s="54">
        <f t="shared" si="5"/>
        <v>44669.580555555549</v>
      </c>
    </row>
    <row r="26" spans="1:13" ht="15.75" x14ac:dyDescent="0.25">
      <c r="B26" s="62" t="s">
        <v>94</v>
      </c>
      <c r="C26" s="79">
        <v>6.8055555555555569E-3</v>
      </c>
      <c r="D26" s="80">
        <v>44669.597222222219</v>
      </c>
      <c r="E26" s="80">
        <v>44669.604166666664</v>
      </c>
      <c r="F26" s="63"/>
      <c r="G26" s="52">
        <f>C26</f>
        <v>6.8055555555555569E-3</v>
      </c>
      <c r="H26" s="54">
        <f t="shared" si="6"/>
        <v>44669.632638888885</v>
      </c>
      <c r="I26" s="54">
        <f t="shared" si="4"/>
        <v>44669.63958333333</v>
      </c>
      <c r="K26" s="60">
        <v>6.8055555555555569E-3</v>
      </c>
      <c r="L26" s="54">
        <f t="shared" si="7"/>
        <v>44669.683333333327</v>
      </c>
      <c r="M26" s="54">
        <f t="shared" si="5"/>
        <v>44669.690277777772</v>
      </c>
    </row>
    <row r="27" spans="1:13" ht="15.75" x14ac:dyDescent="0.25">
      <c r="A27" s="67"/>
      <c r="B27" s="62" t="s">
        <v>95</v>
      </c>
      <c r="C27" s="79">
        <v>7.6134259259259263E-2</v>
      </c>
      <c r="D27" s="80">
        <v>44669.604166666664</v>
      </c>
      <c r="E27" s="80">
        <v>44669.680555555555</v>
      </c>
      <c r="G27" s="52">
        <f t="shared" si="3"/>
        <v>7.6134259259259263E-2</v>
      </c>
      <c r="H27" s="54">
        <f t="shared" si="6"/>
        <v>44669.63958333333</v>
      </c>
      <c r="I27" s="54">
        <f t="shared" si="4"/>
        <v>44669.71597222222</v>
      </c>
      <c r="K27" s="52">
        <v>7.6134259259259263E-2</v>
      </c>
      <c r="L27" s="54">
        <f t="shared" si="7"/>
        <v>44669.690277777772</v>
      </c>
      <c r="M27" s="54">
        <f>I27+"01:13:00"</f>
        <v>44669.766666666663</v>
      </c>
    </row>
    <row r="28" spans="1:13" ht="15.75" x14ac:dyDescent="0.25">
      <c r="A28" s="67"/>
      <c r="B28" s="62" t="s">
        <v>96</v>
      </c>
      <c r="C28" s="79">
        <v>5.6944444444444443E-2</v>
      </c>
      <c r="D28" s="80">
        <v>44669.604166666664</v>
      </c>
      <c r="E28" s="80">
        <v>44669.661111111112</v>
      </c>
      <c r="G28" s="52">
        <f t="shared" si="3"/>
        <v>5.6944444444444443E-2</v>
      </c>
      <c r="H28" s="54">
        <f t="shared" si="6"/>
        <v>44669.63958333333</v>
      </c>
      <c r="I28" s="54">
        <f t="shared" si="4"/>
        <v>44669.696527777778</v>
      </c>
      <c r="K28" s="52">
        <v>5.6944444444444443E-2</v>
      </c>
      <c r="L28" s="54">
        <f t="shared" si="7"/>
        <v>44669.690277777772</v>
      </c>
      <c r="M28" s="54">
        <f t="shared" si="5"/>
        <v>44669.74722222222</v>
      </c>
    </row>
    <row r="29" spans="1:13" x14ac:dyDescent="0.25">
      <c r="B29" s="58"/>
      <c r="C29" s="56"/>
      <c r="D29" s="63"/>
      <c r="E29" s="57"/>
    </row>
    <row r="34" spans="1:9" x14ac:dyDescent="0.25">
      <c r="A34" s="68" t="s">
        <v>97</v>
      </c>
      <c r="B34" s="81" t="s">
        <v>98</v>
      </c>
      <c r="C34" s="81" t="s">
        <v>100</v>
      </c>
      <c r="D34" s="81" t="s">
        <v>101</v>
      </c>
      <c r="E34" s="82" t="s">
        <v>102</v>
      </c>
      <c r="F34" s="81" t="s">
        <v>103</v>
      </c>
      <c r="G34" s="81" t="s">
        <v>104</v>
      </c>
      <c r="H34" s="81" t="s">
        <v>105</v>
      </c>
      <c r="I34" s="83" t="s">
        <v>106</v>
      </c>
    </row>
    <row r="35" spans="1:9" x14ac:dyDescent="0.25">
      <c r="A35" s="69">
        <v>1</v>
      </c>
      <c r="B35" s="84" t="s">
        <v>68</v>
      </c>
      <c r="C35" s="85">
        <v>53111323</v>
      </c>
      <c r="D35" s="86"/>
      <c r="E35" s="85" t="s">
        <v>108</v>
      </c>
      <c r="F35" s="87">
        <v>0.28436342592592595</v>
      </c>
      <c r="G35" s="88">
        <v>44669.395833333336</v>
      </c>
      <c r="H35" s="88">
        <v>44669.680555555555</v>
      </c>
      <c r="I35" s="88">
        <v>44669.395833333336</v>
      </c>
    </row>
    <row r="36" spans="1:9" x14ac:dyDescent="0.25">
      <c r="A36" s="70">
        <v>2</v>
      </c>
      <c r="B36" s="89" t="s">
        <v>112</v>
      </c>
      <c r="C36" s="90">
        <v>53110361</v>
      </c>
      <c r="D36" s="90">
        <v>53111323</v>
      </c>
      <c r="E36" s="90" t="s">
        <v>111</v>
      </c>
      <c r="F36" s="92">
        <v>0</v>
      </c>
      <c r="G36" s="91"/>
      <c r="H36" s="93">
        <v>44669.395833333336</v>
      </c>
      <c r="I36" s="93">
        <v>44669.395833333336</v>
      </c>
    </row>
    <row r="37" spans="1:9" x14ac:dyDescent="0.25">
      <c r="A37" s="69">
        <v>3</v>
      </c>
      <c r="B37" s="89" t="s">
        <v>109</v>
      </c>
      <c r="C37" s="90">
        <v>53110360</v>
      </c>
      <c r="D37" s="90">
        <v>53111323</v>
      </c>
      <c r="E37" s="90" t="s">
        <v>111</v>
      </c>
      <c r="F37" s="92">
        <v>0</v>
      </c>
      <c r="G37" s="91"/>
      <c r="H37" s="93">
        <v>44669.395833333336</v>
      </c>
      <c r="I37" s="93">
        <v>44669.395833333336</v>
      </c>
    </row>
    <row r="38" spans="1:9" x14ac:dyDescent="0.25">
      <c r="A38" s="70">
        <v>4</v>
      </c>
      <c r="B38" s="89" t="s">
        <v>93</v>
      </c>
      <c r="C38" s="90">
        <v>53110362</v>
      </c>
      <c r="D38" s="90">
        <v>53111323</v>
      </c>
      <c r="E38" s="90" t="s">
        <v>108</v>
      </c>
      <c r="F38" s="92">
        <v>1.9618055555555555E-2</v>
      </c>
      <c r="G38" s="93">
        <v>44669.474999999999</v>
      </c>
      <c r="H38" s="93">
        <v>44669.494444444441</v>
      </c>
      <c r="I38" s="93">
        <v>44669.395833333336</v>
      </c>
    </row>
    <row r="39" spans="1:9" x14ac:dyDescent="0.25">
      <c r="A39" s="69">
        <v>5</v>
      </c>
      <c r="B39" s="94" t="s">
        <v>113</v>
      </c>
      <c r="C39" s="90">
        <v>53110372</v>
      </c>
      <c r="D39" s="90">
        <v>53110362</v>
      </c>
      <c r="E39" s="90" t="s">
        <v>111</v>
      </c>
      <c r="F39" s="92">
        <v>0</v>
      </c>
      <c r="G39" s="91"/>
      <c r="H39" s="93">
        <v>44669.395833333336</v>
      </c>
      <c r="I39" s="93">
        <v>44669.395833333336</v>
      </c>
    </row>
    <row r="40" spans="1:9" x14ac:dyDescent="0.25">
      <c r="A40" s="70">
        <v>6</v>
      </c>
      <c r="B40" s="94" t="s">
        <v>114</v>
      </c>
      <c r="C40" s="90">
        <v>53110373</v>
      </c>
      <c r="D40" s="90">
        <v>53110362</v>
      </c>
      <c r="E40" s="90" t="s">
        <v>111</v>
      </c>
      <c r="F40" s="92">
        <v>0</v>
      </c>
      <c r="G40" s="91"/>
      <c r="H40" s="93">
        <v>44669.395833333336</v>
      </c>
      <c r="I40" s="93">
        <v>44669.395833333336</v>
      </c>
    </row>
    <row r="41" spans="1:9" x14ac:dyDescent="0.25">
      <c r="A41" s="69">
        <v>7</v>
      </c>
      <c r="B41" s="94" t="s">
        <v>115</v>
      </c>
      <c r="C41" s="90">
        <v>53110370</v>
      </c>
      <c r="D41" s="90">
        <v>53110362</v>
      </c>
      <c r="E41" s="90" t="s">
        <v>108</v>
      </c>
      <c r="F41" s="92">
        <v>2.0833333333333335E-4</v>
      </c>
      <c r="G41" s="93">
        <v>44669.494444444441</v>
      </c>
      <c r="H41" s="93">
        <v>44669.494444444441</v>
      </c>
      <c r="I41" s="93">
        <v>44669.395833333336</v>
      </c>
    </row>
    <row r="42" spans="1:9" x14ac:dyDescent="0.25">
      <c r="A42" s="70">
        <v>8</v>
      </c>
      <c r="B42" s="94" t="s">
        <v>117</v>
      </c>
      <c r="C42" s="90">
        <v>53110371</v>
      </c>
      <c r="D42" s="90">
        <v>53110362</v>
      </c>
      <c r="E42" s="90" t="s">
        <v>108</v>
      </c>
      <c r="F42" s="92">
        <v>1.0416666666666667E-4</v>
      </c>
      <c r="G42" s="93">
        <v>44669.494444444441</v>
      </c>
      <c r="H42" s="93">
        <v>44669.494444444441</v>
      </c>
      <c r="I42" s="93">
        <v>44669.395833333336</v>
      </c>
    </row>
    <row r="43" spans="1:9" x14ac:dyDescent="0.25">
      <c r="A43" s="69">
        <v>9</v>
      </c>
      <c r="B43" s="94" t="s">
        <v>118</v>
      </c>
      <c r="C43" s="90">
        <v>53110369</v>
      </c>
      <c r="D43" s="90">
        <v>53110362</v>
      </c>
      <c r="E43" s="90" t="s">
        <v>108</v>
      </c>
      <c r="F43" s="92">
        <v>5.1041666666666666E-3</v>
      </c>
      <c r="G43" s="93">
        <v>44669.488888888889</v>
      </c>
      <c r="H43" s="93">
        <v>44669.494444444441</v>
      </c>
      <c r="I43" s="93">
        <v>44669.395833333336</v>
      </c>
    </row>
    <row r="44" spans="1:9" x14ac:dyDescent="0.25">
      <c r="A44" s="70">
        <v>10</v>
      </c>
      <c r="B44" s="94" t="s">
        <v>119</v>
      </c>
      <c r="C44" s="90">
        <v>53110367</v>
      </c>
      <c r="D44" s="90">
        <v>53110362</v>
      </c>
      <c r="E44" s="90" t="s">
        <v>108</v>
      </c>
      <c r="F44" s="92">
        <v>1.3194444444444444E-2</v>
      </c>
      <c r="G44" s="93">
        <v>44669.475694444445</v>
      </c>
      <c r="H44" s="93">
        <v>44669.488888888889</v>
      </c>
      <c r="I44" s="93">
        <v>44669.395833333336</v>
      </c>
    </row>
    <row r="45" spans="1:9" x14ac:dyDescent="0.25">
      <c r="A45" s="69">
        <v>11</v>
      </c>
      <c r="B45" s="94" t="s">
        <v>120</v>
      </c>
      <c r="C45" s="90">
        <v>53110368</v>
      </c>
      <c r="D45" s="90">
        <v>53110362</v>
      </c>
      <c r="E45" s="90" t="s">
        <v>108</v>
      </c>
      <c r="F45" s="92">
        <v>0</v>
      </c>
      <c r="G45" s="93">
        <v>44669.475694444445</v>
      </c>
      <c r="H45" s="93">
        <v>44669.475694444445</v>
      </c>
      <c r="I45" s="93">
        <v>44669.395833333336</v>
      </c>
    </row>
    <row r="46" spans="1:9" x14ac:dyDescent="0.25">
      <c r="A46" s="70">
        <v>12</v>
      </c>
      <c r="B46" s="94" t="s">
        <v>121</v>
      </c>
      <c r="C46" s="90">
        <v>53110366</v>
      </c>
      <c r="D46" s="90">
        <v>53110362</v>
      </c>
      <c r="E46" s="90" t="s">
        <v>108</v>
      </c>
      <c r="F46" s="92">
        <v>3.4722222222222224E-4</v>
      </c>
      <c r="G46" s="93">
        <v>44669.475694444445</v>
      </c>
      <c r="H46" s="93">
        <v>44669.475694444445</v>
      </c>
      <c r="I46" s="93">
        <v>44669.395833333336</v>
      </c>
    </row>
    <row r="47" spans="1:9" x14ac:dyDescent="0.25">
      <c r="A47" s="69">
        <v>13</v>
      </c>
      <c r="B47" s="94" t="s">
        <v>122</v>
      </c>
      <c r="C47" s="90">
        <v>53110365</v>
      </c>
      <c r="D47" s="90">
        <v>53110362</v>
      </c>
      <c r="E47" s="90" t="s">
        <v>108</v>
      </c>
      <c r="F47" s="92">
        <v>3.4722222222222224E-4</v>
      </c>
      <c r="G47" s="93">
        <v>44669.474999999999</v>
      </c>
      <c r="H47" s="93">
        <v>44669.475694444445</v>
      </c>
      <c r="I47" s="93">
        <v>44669.395833333336</v>
      </c>
    </row>
    <row r="48" spans="1:9" x14ac:dyDescent="0.25">
      <c r="A48" s="70">
        <v>14</v>
      </c>
      <c r="B48" s="94" t="s">
        <v>123</v>
      </c>
      <c r="C48" s="90">
        <v>53110364</v>
      </c>
      <c r="D48" s="90">
        <v>53110362</v>
      </c>
      <c r="E48" s="90" t="s">
        <v>108</v>
      </c>
      <c r="F48" s="92">
        <v>3.4722222222222222E-5</v>
      </c>
      <c r="G48" s="93">
        <v>44669.474999999999</v>
      </c>
      <c r="H48" s="93">
        <v>44669.474999999999</v>
      </c>
      <c r="I48" s="93">
        <v>44669.395833333336</v>
      </c>
    </row>
    <row r="49" spans="1:9" x14ac:dyDescent="0.25">
      <c r="A49" s="69">
        <v>15</v>
      </c>
      <c r="B49" s="94" t="s">
        <v>124</v>
      </c>
      <c r="C49" s="90">
        <v>53110363</v>
      </c>
      <c r="D49" s="90">
        <v>53110362</v>
      </c>
      <c r="E49" s="90" t="s">
        <v>108</v>
      </c>
      <c r="F49" s="92">
        <v>3.4722222222222224E-4</v>
      </c>
      <c r="G49" s="93">
        <v>44669.474999999999</v>
      </c>
      <c r="H49" s="93">
        <v>44669.474999999999</v>
      </c>
      <c r="I49" s="93">
        <v>44669.395833333336</v>
      </c>
    </row>
    <row r="50" spans="1:9" x14ac:dyDescent="0.25">
      <c r="A50" s="70">
        <v>16</v>
      </c>
      <c r="B50" s="89" t="s">
        <v>125</v>
      </c>
      <c r="C50" s="90">
        <v>53110376</v>
      </c>
      <c r="D50" s="90">
        <v>53111323</v>
      </c>
      <c r="E50" s="90" t="s">
        <v>108</v>
      </c>
      <c r="F50" s="92">
        <v>0</v>
      </c>
      <c r="G50" s="93">
        <v>44669.395833333336</v>
      </c>
      <c r="H50" s="93">
        <v>44669.395833333336</v>
      </c>
      <c r="I50" s="93">
        <v>44669.395833333336</v>
      </c>
    </row>
    <row r="51" spans="1:9" x14ac:dyDescent="0.25">
      <c r="A51" s="69">
        <v>17</v>
      </c>
      <c r="B51" s="89" t="s">
        <v>69</v>
      </c>
      <c r="C51" s="90">
        <v>53113330</v>
      </c>
      <c r="D51" s="90">
        <v>53111323</v>
      </c>
      <c r="E51" s="90" t="s">
        <v>108</v>
      </c>
      <c r="F51" s="92">
        <v>3.2280092592592589E-2</v>
      </c>
      <c r="G51" s="93">
        <v>44669.395833333336</v>
      </c>
      <c r="H51" s="93">
        <v>44669.428472222222</v>
      </c>
      <c r="I51" s="93">
        <v>44669.395833333336</v>
      </c>
    </row>
    <row r="52" spans="1:9" x14ac:dyDescent="0.25">
      <c r="A52" s="70">
        <v>18</v>
      </c>
      <c r="B52" s="94" t="s">
        <v>129</v>
      </c>
      <c r="C52" s="90">
        <v>53113338</v>
      </c>
      <c r="D52" s="90">
        <v>53113330</v>
      </c>
      <c r="E52" s="90" t="s">
        <v>108</v>
      </c>
      <c r="F52" s="92">
        <v>0</v>
      </c>
      <c r="G52" s="93">
        <v>44669.428472222222</v>
      </c>
      <c r="H52" s="93">
        <v>44669.428472222222</v>
      </c>
      <c r="I52" s="93">
        <v>44669.395833333336</v>
      </c>
    </row>
    <row r="53" spans="1:9" x14ac:dyDescent="0.25">
      <c r="A53" s="69">
        <v>19</v>
      </c>
      <c r="B53" s="94" t="s">
        <v>130</v>
      </c>
      <c r="C53" s="90">
        <v>53113337</v>
      </c>
      <c r="D53" s="90">
        <v>53113330</v>
      </c>
      <c r="E53" s="90" t="s">
        <v>108</v>
      </c>
      <c r="F53" s="92">
        <v>1.4710648148148148E-2</v>
      </c>
      <c r="G53" s="93">
        <v>44669.413194444445</v>
      </c>
      <c r="H53" s="93">
        <v>44669.428472222222</v>
      </c>
      <c r="I53" s="93">
        <v>44669.395833333336</v>
      </c>
    </row>
    <row r="54" spans="1:9" x14ac:dyDescent="0.25">
      <c r="A54" s="70">
        <v>20</v>
      </c>
      <c r="B54" s="95" t="s">
        <v>129</v>
      </c>
      <c r="C54" s="90">
        <v>53110515</v>
      </c>
      <c r="D54" s="90">
        <v>53113337</v>
      </c>
      <c r="E54" s="90" t="s">
        <v>108</v>
      </c>
      <c r="F54" s="92">
        <v>0</v>
      </c>
      <c r="G54" s="93">
        <v>44669.428472222222</v>
      </c>
      <c r="H54" s="93">
        <v>44669.428472222222</v>
      </c>
      <c r="I54" s="93">
        <v>44669.413194444445</v>
      </c>
    </row>
    <row r="55" spans="1:9" x14ac:dyDescent="0.25">
      <c r="A55" s="69">
        <v>21</v>
      </c>
      <c r="B55" s="95" t="s">
        <v>131</v>
      </c>
      <c r="C55" s="90">
        <v>53110514</v>
      </c>
      <c r="D55" s="90">
        <v>53113337</v>
      </c>
      <c r="E55" s="90" t="s">
        <v>108</v>
      </c>
      <c r="F55" s="92">
        <v>2.4305555555555552E-4</v>
      </c>
      <c r="G55" s="93">
        <v>44669.427777777775</v>
      </c>
      <c r="H55" s="93">
        <v>44669.428472222222</v>
      </c>
      <c r="I55" s="93">
        <v>44669.413194444445</v>
      </c>
    </row>
    <row r="56" spans="1:9" x14ac:dyDescent="0.25">
      <c r="A56" s="70">
        <v>22</v>
      </c>
      <c r="B56" s="95" t="s">
        <v>136</v>
      </c>
      <c r="C56" s="90">
        <v>53110513</v>
      </c>
      <c r="D56" s="90">
        <v>53113337</v>
      </c>
      <c r="E56" s="90" t="s">
        <v>108</v>
      </c>
      <c r="F56" s="92">
        <v>2.199074074074074E-4</v>
      </c>
      <c r="G56" s="93">
        <v>44669.427777777775</v>
      </c>
      <c r="H56" s="93">
        <v>44669.427777777775</v>
      </c>
      <c r="I56" s="93">
        <v>44669.413194444445</v>
      </c>
    </row>
    <row r="57" spans="1:9" x14ac:dyDescent="0.25">
      <c r="A57" s="69">
        <v>23</v>
      </c>
      <c r="B57" s="95" t="s">
        <v>132</v>
      </c>
      <c r="C57" s="90">
        <v>53110512</v>
      </c>
      <c r="D57" s="90">
        <v>53113337</v>
      </c>
      <c r="E57" s="90" t="s">
        <v>108</v>
      </c>
      <c r="F57" s="92">
        <v>8.1018518518518516E-5</v>
      </c>
      <c r="G57" s="93">
        <v>44669.427777777775</v>
      </c>
      <c r="H57" s="93">
        <v>44669.427777777775</v>
      </c>
      <c r="I57" s="93">
        <v>44669.413194444445</v>
      </c>
    </row>
    <row r="58" spans="1:9" x14ac:dyDescent="0.25">
      <c r="A58" s="70">
        <v>24</v>
      </c>
      <c r="B58" s="95" t="s">
        <v>134</v>
      </c>
      <c r="C58" s="90">
        <v>53110510</v>
      </c>
      <c r="D58" s="90">
        <v>53113337</v>
      </c>
      <c r="E58" s="90" t="s">
        <v>108</v>
      </c>
      <c r="F58" s="92">
        <v>1.1574074074074073E-5</v>
      </c>
      <c r="G58" s="93">
        <v>44669.427777777775</v>
      </c>
      <c r="H58" s="93">
        <v>44669.427777777775</v>
      </c>
      <c r="I58" s="93">
        <v>44669.413194444445</v>
      </c>
    </row>
    <row r="59" spans="1:9" x14ac:dyDescent="0.25">
      <c r="A59" s="69">
        <v>25</v>
      </c>
      <c r="B59" s="95" t="s">
        <v>135</v>
      </c>
      <c r="C59" s="90">
        <v>53110509</v>
      </c>
      <c r="D59" s="90">
        <v>53113337</v>
      </c>
      <c r="E59" s="90" t="s">
        <v>108</v>
      </c>
      <c r="F59" s="92">
        <v>4.6296296296296294E-5</v>
      </c>
      <c r="G59" s="93">
        <v>44669.427083333336</v>
      </c>
      <c r="H59" s="93">
        <v>44669.427777777775</v>
      </c>
      <c r="I59" s="93">
        <v>44669.413194444445</v>
      </c>
    </row>
    <row r="60" spans="1:9" x14ac:dyDescent="0.25">
      <c r="A60" s="70">
        <v>26</v>
      </c>
      <c r="B60" s="95" t="s">
        <v>137</v>
      </c>
      <c r="C60" s="90">
        <v>53110506</v>
      </c>
      <c r="D60" s="90">
        <v>53113337</v>
      </c>
      <c r="E60" s="90" t="s">
        <v>108</v>
      </c>
      <c r="F60" s="92">
        <v>1.5046296296296297E-4</v>
      </c>
      <c r="G60" s="93">
        <v>44669.427083333336</v>
      </c>
      <c r="H60" s="93">
        <v>44669.427083333336</v>
      </c>
      <c r="I60" s="93">
        <v>44669.413194444445</v>
      </c>
    </row>
    <row r="61" spans="1:9" x14ac:dyDescent="0.25">
      <c r="A61" s="69">
        <v>27</v>
      </c>
      <c r="B61" s="95" t="s">
        <v>138</v>
      </c>
      <c r="C61" s="90">
        <v>53110505</v>
      </c>
      <c r="D61" s="90">
        <v>53113337</v>
      </c>
      <c r="E61" s="90" t="s">
        <v>108</v>
      </c>
      <c r="F61" s="92">
        <v>5.7870370370370366E-5</v>
      </c>
      <c r="G61" s="93">
        <v>44669.427083333336</v>
      </c>
      <c r="H61" s="93">
        <v>44669.427083333336</v>
      </c>
      <c r="I61" s="93">
        <v>44669.413194444445</v>
      </c>
    </row>
    <row r="62" spans="1:9" x14ac:dyDescent="0.25">
      <c r="A62" s="70">
        <v>28</v>
      </c>
      <c r="B62" s="95" t="s">
        <v>139</v>
      </c>
      <c r="C62" s="90">
        <v>53110504</v>
      </c>
      <c r="D62" s="90">
        <v>53113337</v>
      </c>
      <c r="E62" s="90" t="s">
        <v>108</v>
      </c>
      <c r="F62" s="92">
        <v>9.2592592592592588E-5</v>
      </c>
      <c r="G62" s="93">
        <v>44669.427083333336</v>
      </c>
      <c r="H62" s="93">
        <v>44669.427083333336</v>
      </c>
      <c r="I62" s="93">
        <v>44669.413194444445</v>
      </c>
    </row>
    <row r="63" spans="1:9" x14ac:dyDescent="0.25">
      <c r="A63" s="69">
        <v>29</v>
      </c>
      <c r="B63" s="95" t="s">
        <v>141</v>
      </c>
      <c r="C63" s="90">
        <v>53110508</v>
      </c>
      <c r="D63" s="90">
        <v>53113337</v>
      </c>
      <c r="E63" s="90" t="s">
        <v>108</v>
      </c>
      <c r="F63" s="92">
        <v>6.9444444444444447E-4</v>
      </c>
      <c r="G63" s="93">
        <v>44669.427083333336</v>
      </c>
      <c r="H63" s="93">
        <v>44669.427777777775</v>
      </c>
      <c r="I63" s="93">
        <v>44669.413194444445</v>
      </c>
    </row>
    <row r="64" spans="1:9" x14ac:dyDescent="0.25">
      <c r="A64" s="70">
        <v>30</v>
      </c>
      <c r="B64" s="95" t="s">
        <v>140</v>
      </c>
      <c r="C64" s="90">
        <v>53110503</v>
      </c>
      <c r="D64" s="90">
        <v>53113337</v>
      </c>
      <c r="E64" s="90" t="s">
        <v>108</v>
      </c>
      <c r="F64" s="92">
        <v>1.0416666666666667E-4</v>
      </c>
      <c r="G64" s="93">
        <v>44669.427083333336</v>
      </c>
      <c r="H64" s="93">
        <v>44669.427083333336</v>
      </c>
      <c r="I64" s="93">
        <v>44669.413194444445</v>
      </c>
    </row>
    <row r="65" spans="1:9" x14ac:dyDescent="0.25">
      <c r="A65" s="69">
        <v>31</v>
      </c>
      <c r="B65" s="95" t="s">
        <v>133</v>
      </c>
      <c r="C65" s="90">
        <v>53110511</v>
      </c>
      <c r="D65" s="90">
        <v>53113337</v>
      </c>
      <c r="E65" s="90" t="s">
        <v>108</v>
      </c>
      <c r="F65" s="92">
        <v>6.2500000000000001E-4</v>
      </c>
      <c r="G65" s="93">
        <v>44669.427083333336</v>
      </c>
      <c r="H65" s="93">
        <v>44669.427777777775</v>
      </c>
      <c r="I65" s="93">
        <v>44669.413194444445</v>
      </c>
    </row>
    <row r="66" spans="1:9" x14ac:dyDescent="0.25">
      <c r="A66" s="70">
        <v>32</v>
      </c>
      <c r="B66" s="95" t="s">
        <v>142</v>
      </c>
      <c r="C66" s="90">
        <v>53110502</v>
      </c>
      <c r="D66" s="90">
        <v>53113337</v>
      </c>
      <c r="E66" s="90" t="s">
        <v>108</v>
      </c>
      <c r="F66" s="92">
        <v>9.2592592592592588E-5</v>
      </c>
      <c r="G66" s="93">
        <v>44669.427083333336</v>
      </c>
      <c r="H66" s="93">
        <v>44669.427083333336</v>
      </c>
      <c r="I66" s="93">
        <v>44669.413194444445</v>
      </c>
    </row>
    <row r="67" spans="1:9" x14ac:dyDescent="0.25">
      <c r="A67" s="69">
        <v>33</v>
      </c>
      <c r="B67" s="95" t="s">
        <v>144</v>
      </c>
      <c r="C67" s="90">
        <v>53110507</v>
      </c>
      <c r="D67" s="90">
        <v>53113337</v>
      </c>
      <c r="E67" s="90" t="s">
        <v>108</v>
      </c>
      <c r="F67" s="92">
        <v>1.0416666666666667E-4</v>
      </c>
      <c r="G67" s="93">
        <v>44669.427083333336</v>
      </c>
      <c r="H67" s="93">
        <v>44669.427083333336</v>
      </c>
      <c r="I67" s="93">
        <v>44669.413194444445</v>
      </c>
    </row>
    <row r="68" spans="1:9" x14ac:dyDescent="0.25">
      <c r="A68" s="70">
        <v>34</v>
      </c>
      <c r="B68" s="95" t="s">
        <v>143</v>
      </c>
      <c r="C68" s="90">
        <v>53110501</v>
      </c>
      <c r="D68" s="90">
        <v>53113337</v>
      </c>
      <c r="E68" s="90" t="s">
        <v>108</v>
      </c>
      <c r="F68" s="92">
        <v>5.7870370370370366E-5</v>
      </c>
      <c r="G68" s="93">
        <v>44669.427083333336</v>
      </c>
      <c r="H68" s="93">
        <v>44669.427083333336</v>
      </c>
      <c r="I68" s="93">
        <v>44669.413194444445</v>
      </c>
    </row>
    <row r="69" spans="1:9" x14ac:dyDescent="0.25">
      <c r="A69" s="69">
        <v>35</v>
      </c>
      <c r="B69" s="95" t="s">
        <v>145</v>
      </c>
      <c r="C69" s="90">
        <v>53110500</v>
      </c>
      <c r="D69" s="90">
        <v>53113337</v>
      </c>
      <c r="E69" s="90" t="s">
        <v>108</v>
      </c>
      <c r="F69" s="92">
        <v>5.7870370370370366E-5</v>
      </c>
      <c r="G69" s="93">
        <v>44669.427083333336</v>
      </c>
      <c r="H69" s="93">
        <v>44669.427083333336</v>
      </c>
      <c r="I69" s="93">
        <v>44669.413194444445</v>
      </c>
    </row>
    <row r="70" spans="1:9" x14ac:dyDescent="0.25">
      <c r="A70" s="70">
        <v>36</v>
      </c>
      <c r="B70" s="95" t="s">
        <v>146</v>
      </c>
      <c r="C70" s="90">
        <v>53110499</v>
      </c>
      <c r="D70" s="90">
        <v>53113337</v>
      </c>
      <c r="E70" s="90" t="s">
        <v>108</v>
      </c>
      <c r="F70" s="92">
        <v>6.9444444444444444E-5</v>
      </c>
      <c r="G70" s="93">
        <v>44669.426388888889</v>
      </c>
      <c r="H70" s="93">
        <v>44669.427083333336</v>
      </c>
      <c r="I70" s="93">
        <v>44669.413194444445</v>
      </c>
    </row>
    <row r="71" spans="1:9" x14ac:dyDescent="0.25">
      <c r="A71" s="69">
        <v>37</v>
      </c>
      <c r="B71" s="95" t="s">
        <v>147</v>
      </c>
      <c r="C71" s="90">
        <v>53110498</v>
      </c>
      <c r="D71" s="90">
        <v>53113337</v>
      </c>
      <c r="E71" s="90" t="s">
        <v>108</v>
      </c>
      <c r="F71" s="92">
        <v>4.6296296296296294E-5</v>
      </c>
      <c r="G71" s="93">
        <v>44669.426388888889</v>
      </c>
      <c r="H71" s="93">
        <v>44669.426388888889</v>
      </c>
      <c r="I71" s="93">
        <v>44669.413194444445</v>
      </c>
    </row>
    <row r="72" spans="1:9" x14ac:dyDescent="0.25">
      <c r="A72" s="70">
        <v>38</v>
      </c>
      <c r="B72" s="95" t="s">
        <v>148</v>
      </c>
      <c r="C72" s="90">
        <v>53110497</v>
      </c>
      <c r="D72" s="90">
        <v>53113337</v>
      </c>
      <c r="E72" s="90" t="s">
        <v>108</v>
      </c>
      <c r="F72" s="92">
        <v>6.9444444444444444E-5</v>
      </c>
      <c r="G72" s="93">
        <v>44669.426388888889</v>
      </c>
      <c r="H72" s="93">
        <v>44669.426388888889</v>
      </c>
      <c r="I72" s="93">
        <v>44669.413194444445</v>
      </c>
    </row>
    <row r="73" spans="1:9" x14ac:dyDescent="0.25">
      <c r="A73" s="69">
        <v>39</v>
      </c>
      <c r="B73" s="95" t="s">
        <v>150</v>
      </c>
      <c r="C73" s="90">
        <v>53110495</v>
      </c>
      <c r="D73" s="90">
        <v>53113337</v>
      </c>
      <c r="E73" s="90" t="s">
        <v>108</v>
      </c>
      <c r="F73" s="92">
        <v>5.3240740740740744E-4</v>
      </c>
      <c r="G73" s="93">
        <v>44669.426388888889</v>
      </c>
      <c r="H73" s="93">
        <v>44669.427083333336</v>
      </c>
      <c r="I73" s="93">
        <v>44669.413194444445</v>
      </c>
    </row>
    <row r="74" spans="1:9" x14ac:dyDescent="0.25">
      <c r="A74" s="70">
        <v>40</v>
      </c>
      <c r="B74" s="95" t="s">
        <v>149</v>
      </c>
      <c r="C74" s="90">
        <v>53110496</v>
      </c>
      <c r="D74" s="90">
        <v>53113337</v>
      </c>
      <c r="E74" s="90" t="s">
        <v>108</v>
      </c>
      <c r="F74" s="92">
        <v>5.7870370370370366E-5</v>
      </c>
      <c r="G74" s="93">
        <v>44669.426388888889</v>
      </c>
      <c r="H74" s="93">
        <v>44669.426388888889</v>
      </c>
      <c r="I74" s="93">
        <v>44669.413194444445</v>
      </c>
    </row>
    <row r="75" spans="1:9" x14ac:dyDescent="0.25">
      <c r="A75" s="69">
        <v>41</v>
      </c>
      <c r="B75" s="95" t="s">
        <v>151</v>
      </c>
      <c r="C75" s="90">
        <v>53110494</v>
      </c>
      <c r="D75" s="90">
        <v>53113337</v>
      </c>
      <c r="E75" s="90" t="s">
        <v>108</v>
      </c>
      <c r="F75" s="92">
        <v>1.8865740740740742E-3</v>
      </c>
      <c r="G75" s="93">
        <v>44669.424305555556</v>
      </c>
      <c r="H75" s="93">
        <v>44669.426388888889</v>
      </c>
      <c r="I75" s="93">
        <v>44669.413194444445</v>
      </c>
    </row>
    <row r="76" spans="1:9" x14ac:dyDescent="0.25">
      <c r="A76" s="70">
        <v>42</v>
      </c>
      <c r="B76" s="95" t="s">
        <v>152</v>
      </c>
      <c r="C76" s="90">
        <v>53110493</v>
      </c>
      <c r="D76" s="90">
        <v>53113337</v>
      </c>
      <c r="E76" s="90" t="s">
        <v>108</v>
      </c>
      <c r="F76" s="92">
        <v>4.8379629629629632E-3</v>
      </c>
      <c r="G76" s="93">
        <v>44669.420138888891</v>
      </c>
      <c r="H76" s="93">
        <v>44669.424305555556</v>
      </c>
      <c r="I76" s="93">
        <v>44669.413194444445</v>
      </c>
    </row>
    <row r="77" spans="1:9" x14ac:dyDescent="0.25">
      <c r="A77" s="69">
        <v>43</v>
      </c>
      <c r="B77" s="95" t="s">
        <v>153</v>
      </c>
      <c r="C77" s="90">
        <v>53110492</v>
      </c>
      <c r="D77" s="90">
        <v>53113337</v>
      </c>
      <c r="E77" s="90" t="s">
        <v>108</v>
      </c>
      <c r="F77" s="92">
        <v>5.5671296296296302E-3</v>
      </c>
      <c r="G77" s="93">
        <v>44669.413888888892</v>
      </c>
      <c r="H77" s="93">
        <v>44669.419444444444</v>
      </c>
      <c r="I77" s="93">
        <v>44669.413194444445</v>
      </c>
    </row>
    <row r="78" spans="1:9" x14ac:dyDescent="0.25">
      <c r="A78" s="70">
        <v>44</v>
      </c>
      <c r="B78" s="95" t="s">
        <v>154</v>
      </c>
      <c r="C78" s="90">
        <v>53110491</v>
      </c>
      <c r="D78" s="90">
        <v>53113337</v>
      </c>
      <c r="E78" s="90" t="s">
        <v>108</v>
      </c>
      <c r="F78" s="92">
        <v>8.1018518518518516E-5</v>
      </c>
      <c r="G78" s="93">
        <v>44669.413888888892</v>
      </c>
      <c r="H78" s="93">
        <v>44669.413888888892</v>
      </c>
      <c r="I78" s="93">
        <v>44669.413194444445</v>
      </c>
    </row>
    <row r="79" spans="1:9" x14ac:dyDescent="0.25">
      <c r="A79" s="69">
        <v>45</v>
      </c>
      <c r="B79" s="95" t="s">
        <v>155</v>
      </c>
      <c r="C79" s="90">
        <v>53110490</v>
      </c>
      <c r="D79" s="90">
        <v>53113337</v>
      </c>
      <c r="E79" s="90" t="s">
        <v>108</v>
      </c>
      <c r="F79" s="92">
        <v>3.9351851851851852E-4</v>
      </c>
      <c r="G79" s="93">
        <v>44669.413888888892</v>
      </c>
      <c r="H79" s="93">
        <v>44669.413888888892</v>
      </c>
      <c r="I79" s="93">
        <v>44669.413194444445</v>
      </c>
    </row>
    <row r="80" spans="1:9" x14ac:dyDescent="0.25">
      <c r="A80" s="70">
        <v>46</v>
      </c>
      <c r="B80" s="95" t="s">
        <v>156</v>
      </c>
      <c r="C80" s="90">
        <v>53110489</v>
      </c>
      <c r="D80" s="90">
        <v>53113337</v>
      </c>
      <c r="E80" s="90" t="s">
        <v>108</v>
      </c>
      <c r="F80" s="92">
        <v>8.1018518518518516E-5</v>
      </c>
      <c r="G80" s="93">
        <v>44669.413888888892</v>
      </c>
      <c r="H80" s="93">
        <v>44669.413888888892</v>
      </c>
      <c r="I80" s="93">
        <v>44669.413194444445</v>
      </c>
    </row>
    <row r="81" spans="1:9" x14ac:dyDescent="0.25">
      <c r="A81" s="69">
        <v>47</v>
      </c>
      <c r="B81" s="95" t="s">
        <v>157</v>
      </c>
      <c r="C81" s="90">
        <v>53110488</v>
      </c>
      <c r="D81" s="90">
        <v>53113337</v>
      </c>
      <c r="E81" s="90" t="s">
        <v>108</v>
      </c>
      <c r="F81" s="92">
        <v>9.2592592592592588E-5</v>
      </c>
      <c r="G81" s="93">
        <v>44669.413194444445</v>
      </c>
      <c r="H81" s="93">
        <v>44669.413888888892</v>
      </c>
      <c r="I81" s="93">
        <v>44669.413194444445</v>
      </c>
    </row>
    <row r="82" spans="1:9" x14ac:dyDescent="0.25">
      <c r="A82" s="70">
        <v>48</v>
      </c>
      <c r="B82" s="95" t="s">
        <v>129</v>
      </c>
      <c r="C82" s="90">
        <v>53110487</v>
      </c>
      <c r="D82" s="90">
        <v>53113337</v>
      </c>
      <c r="E82" s="90" t="s">
        <v>108</v>
      </c>
      <c r="F82" s="92">
        <v>0</v>
      </c>
      <c r="G82" s="93">
        <v>44669.413194444445</v>
      </c>
      <c r="H82" s="93">
        <v>44669.413194444445</v>
      </c>
      <c r="I82" s="93">
        <v>44669.413194444445</v>
      </c>
    </row>
    <row r="83" spans="1:9" x14ac:dyDescent="0.25">
      <c r="A83" s="69">
        <v>49</v>
      </c>
      <c r="B83" s="94" t="s">
        <v>157</v>
      </c>
      <c r="C83" s="90">
        <v>53113336</v>
      </c>
      <c r="D83" s="90">
        <v>53113330</v>
      </c>
      <c r="E83" s="90" t="s">
        <v>108</v>
      </c>
      <c r="F83" s="92">
        <v>5.4398148148148144E-4</v>
      </c>
      <c r="G83" s="93">
        <v>44669.413194444445</v>
      </c>
      <c r="H83" s="93">
        <v>44669.413194444445</v>
      </c>
      <c r="I83" s="93">
        <v>44669.395833333336</v>
      </c>
    </row>
    <row r="84" spans="1:9" x14ac:dyDescent="0.25">
      <c r="A84" s="70">
        <v>50</v>
      </c>
      <c r="B84" s="94" t="s">
        <v>158</v>
      </c>
      <c r="C84" s="90">
        <v>53113335</v>
      </c>
      <c r="D84" s="90">
        <v>53113330</v>
      </c>
      <c r="E84" s="90" t="s">
        <v>108</v>
      </c>
      <c r="F84" s="92">
        <v>9.1435185185185178E-3</v>
      </c>
      <c r="G84" s="93">
        <v>44669.404166666667</v>
      </c>
      <c r="H84" s="93">
        <v>44669.413194444445</v>
      </c>
      <c r="I84" s="93">
        <v>44669.395833333336</v>
      </c>
    </row>
    <row r="85" spans="1:9" x14ac:dyDescent="0.25">
      <c r="A85" s="69">
        <v>51</v>
      </c>
      <c r="B85" s="94" t="s">
        <v>159</v>
      </c>
      <c r="C85" s="90">
        <v>53113334</v>
      </c>
      <c r="D85" s="90">
        <v>53113330</v>
      </c>
      <c r="E85" s="90" t="s">
        <v>108</v>
      </c>
      <c r="F85" s="92">
        <v>3.5879629629629635E-4</v>
      </c>
      <c r="G85" s="93">
        <v>44669.40347222222</v>
      </c>
      <c r="H85" s="93">
        <v>44669.404166666667</v>
      </c>
      <c r="I85" s="93">
        <v>44669.395833333336</v>
      </c>
    </row>
    <row r="86" spans="1:9" x14ac:dyDescent="0.25">
      <c r="A86" s="70">
        <v>52</v>
      </c>
      <c r="B86" s="94" t="s">
        <v>160</v>
      </c>
      <c r="C86" s="90">
        <v>53113333</v>
      </c>
      <c r="D86" s="90">
        <v>53113330</v>
      </c>
      <c r="E86" s="90" t="s">
        <v>108</v>
      </c>
      <c r="F86" s="92">
        <v>7.1412037037037043E-3</v>
      </c>
      <c r="G86" s="93">
        <v>44669.396527777775</v>
      </c>
      <c r="H86" s="93">
        <v>44669.40347222222</v>
      </c>
      <c r="I86" s="93">
        <v>44669.395833333336</v>
      </c>
    </row>
    <row r="87" spans="1:9" x14ac:dyDescent="0.25">
      <c r="A87" s="69">
        <v>53</v>
      </c>
      <c r="B87" s="94" t="s">
        <v>161</v>
      </c>
      <c r="C87" s="90">
        <v>53113332</v>
      </c>
      <c r="D87" s="90">
        <v>53113330</v>
      </c>
      <c r="E87" s="90" t="s">
        <v>108</v>
      </c>
      <c r="F87" s="92">
        <v>3.5879629629629635E-4</v>
      </c>
      <c r="G87" s="93">
        <v>44669.395833333336</v>
      </c>
      <c r="H87" s="93">
        <v>44669.396527777775</v>
      </c>
      <c r="I87" s="93">
        <v>44669.395833333336</v>
      </c>
    </row>
    <row r="88" spans="1:9" x14ac:dyDescent="0.25">
      <c r="A88" s="70">
        <v>54</v>
      </c>
      <c r="B88" s="94" t="s">
        <v>129</v>
      </c>
      <c r="C88" s="90">
        <v>53113331</v>
      </c>
      <c r="D88" s="90">
        <v>53113330</v>
      </c>
      <c r="E88" s="90" t="s">
        <v>108</v>
      </c>
      <c r="F88" s="92">
        <v>0</v>
      </c>
      <c r="G88" s="93">
        <v>44669.395833333336</v>
      </c>
      <c r="H88" s="93">
        <v>44669.395833333336</v>
      </c>
      <c r="I88" s="93">
        <v>44669.395833333336</v>
      </c>
    </row>
    <row r="89" spans="1:9" x14ac:dyDescent="0.25">
      <c r="A89" s="69">
        <v>55</v>
      </c>
      <c r="B89" s="89" t="s">
        <v>127</v>
      </c>
      <c r="C89" s="90">
        <v>53110375</v>
      </c>
      <c r="D89" s="90">
        <v>53111323</v>
      </c>
      <c r="E89" s="90" t="s">
        <v>108</v>
      </c>
      <c r="F89" s="92">
        <v>4.6296296296296294E-5</v>
      </c>
      <c r="G89" s="93">
        <v>44669.395833333336</v>
      </c>
      <c r="H89" s="93">
        <v>44669.395833333336</v>
      </c>
      <c r="I89" s="93">
        <v>44669.395833333336</v>
      </c>
    </row>
    <row r="90" spans="1:9" x14ac:dyDescent="0.25">
      <c r="A90" s="70">
        <v>56</v>
      </c>
      <c r="B90" s="89" t="s">
        <v>128</v>
      </c>
      <c r="C90" s="90">
        <v>53110374</v>
      </c>
      <c r="D90" s="90">
        <v>53111323</v>
      </c>
      <c r="E90" s="90" t="s">
        <v>108</v>
      </c>
      <c r="F90" s="92">
        <v>0</v>
      </c>
      <c r="G90" s="93">
        <v>44669.395833333336</v>
      </c>
      <c r="H90" s="93">
        <v>44669.395833333336</v>
      </c>
      <c r="I90" s="93">
        <v>44669.395833333336</v>
      </c>
    </row>
    <row r="91" spans="1:9" x14ac:dyDescent="0.25">
      <c r="A91" s="69">
        <v>57</v>
      </c>
      <c r="B91" s="89" t="s">
        <v>163</v>
      </c>
      <c r="C91" s="90">
        <v>53113346</v>
      </c>
      <c r="D91" s="90">
        <v>53111323</v>
      </c>
      <c r="E91" s="90" t="s">
        <v>108</v>
      </c>
      <c r="F91" s="92">
        <v>0</v>
      </c>
      <c r="G91" s="93">
        <v>44669.433333333334</v>
      </c>
      <c r="H91" s="93">
        <v>44669.433333333334</v>
      </c>
      <c r="I91" s="93">
        <v>44669.395833333336</v>
      </c>
    </row>
    <row r="92" spans="1:9" x14ac:dyDescent="0.25">
      <c r="A92" s="70">
        <v>58</v>
      </c>
      <c r="B92" s="89" t="s">
        <v>162</v>
      </c>
      <c r="C92" s="90">
        <v>53113347</v>
      </c>
      <c r="D92" s="90">
        <v>53111323</v>
      </c>
      <c r="E92" s="90" t="s">
        <v>108</v>
      </c>
      <c r="F92" s="92">
        <v>3.4722222222222224E-4</v>
      </c>
      <c r="G92" s="93">
        <v>44669.433333333334</v>
      </c>
      <c r="H92" s="93">
        <v>44669.433333333334</v>
      </c>
      <c r="I92" s="93">
        <v>44669.395833333336</v>
      </c>
    </row>
    <row r="93" spans="1:9" x14ac:dyDescent="0.25">
      <c r="A93" s="69">
        <v>59</v>
      </c>
      <c r="B93" s="89" t="s">
        <v>164</v>
      </c>
      <c r="C93" s="90">
        <v>53113345</v>
      </c>
      <c r="D93" s="90">
        <v>53111323</v>
      </c>
      <c r="E93" s="90" t="s">
        <v>108</v>
      </c>
      <c r="F93" s="92">
        <v>2.6620370370370374E-3</v>
      </c>
      <c r="G93" s="93">
        <v>44669.430555555555</v>
      </c>
      <c r="H93" s="93">
        <v>44669.433333333334</v>
      </c>
      <c r="I93" s="93">
        <v>44669.395833333336</v>
      </c>
    </row>
    <row r="94" spans="1:9" x14ac:dyDescent="0.25">
      <c r="A94" s="70">
        <v>60</v>
      </c>
      <c r="B94" s="89" t="s">
        <v>165</v>
      </c>
      <c r="C94" s="90">
        <v>53113344</v>
      </c>
      <c r="D94" s="90">
        <v>53111323</v>
      </c>
      <c r="E94" s="90" t="s">
        <v>108</v>
      </c>
      <c r="F94" s="92">
        <v>3.3564814814814812E-4</v>
      </c>
      <c r="G94" s="93">
        <v>44669.429861111108</v>
      </c>
      <c r="H94" s="93">
        <v>44669.430555555555</v>
      </c>
      <c r="I94" s="93">
        <v>44669.395833333336</v>
      </c>
    </row>
    <row r="95" spans="1:9" x14ac:dyDescent="0.25">
      <c r="A95" s="69">
        <v>61</v>
      </c>
      <c r="B95" s="89" t="s">
        <v>166</v>
      </c>
      <c r="C95" s="90">
        <v>53113343</v>
      </c>
      <c r="D95" s="90">
        <v>53111323</v>
      </c>
      <c r="E95" s="90" t="s">
        <v>108</v>
      </c>
      <c r="F95" s="92">
        <v>2.3148148148148146E-4</v>
      </c>
      <c r="G95" s="93">
        <v>44669.428472222222</v>
      </c>
      <c r="H95" s="93">
        <v>44669.428472222222</v>
      </c>
      <c r="I95" s="93">
        <v>44669.395833333336</v>
      </c>
    </row>
    <row r="96" spans="1:9" x14ac:dyDescent="0.25">
      <c r="A96" s="70">
        <v>62</v>
      </c>
      <c r="B96" s="89" t="s">
        <v>167</v>
      </c>
      <c r="C96" s="90">
        <v>53113340</v>
      </c>
      <c r="D96" s="90">
        <v>53111323</v>
      </c>
      <c r="E96" s="90" t="s">
        <v>108</v>
      </c>
      <c r="F96" s="92">
        <v>1.5162037037037036E-3</v>
      </c>
      <c r="G96" s="93">
        <v>44669.428472222222</v>
      </c>
      <c r="H96" s="93">
        <v>44669.429861111108</v>
      </c>
      <c r="I96" s="93">
        <v>44669.395833333336</v>
      </c>
    </row>
    <row r="97" spans="1:9" x14ac:dyDescent="0.25">
      <c r="A97" s="69">
        <v>63</v>
      </c>
      <c r="B97" s="89" t="s">
        <v>168</v>
      </c>
      <c r="C97" s="90">
        <v>53113339</v>
      </c>
      <c r="D97" s="90">
        <v>53111323</v>
      </c>
      <c r="E97" s="90" t="s">
        <v>108</v>
      </c>
      <c r="F97" s="92">
        <v>3.4722222222222224E-4</v>
      </c>
      <c r="G97" s="93">
        <v>44669.428472222222</v>
      </c>
      <c r="H97" s="93">
        <v>44669.428472222222</v>
      </c>
      <c r="I97" s="93">
        <v>44669.395833333336</v>
      </c>
    </row>
    <row r="98" spans="1:9" x14ac:dyDescent="0.25">
      <c r="A98" s="70">
        <v>64</v>
      </c>
      <c r="B98" s="89" t="s">
        <v>70</v>
      </c>
      <c r="C98" s="90">
        <v>53113348</v>
      </c>
      <c r="D98" s="90">
        <v>53111323</v>
      </c>
      <c r="E98" s="90" t="s">
        <v>108</v>
      </c>
      <c r="F98" s="92">
        <v>1.4699074074074074E-3</v>
      </c>
      <c r="G98" s="93">
        <v>44669.433333333334</v>
      </c>
      <c r="H98" s="93">
        <v>44669.43472222222</v>
      </c>
      <c r="I98" s="93">
        <v>44669.395833333336</v>
      </c>
    </row>
    <row r="99" spans="1:9" x14ac:dyDescent="0.25">
      <c r="A99" s="69">
        <v>65</v>
      </c>
      <c r="B99" s="89" t="s">
        <v>71</v>
      </c>
      <c r="C99" s="90">
        <v>53113371</v>
      </c>
      <c r="D99" s="90">
        <v>53111323</v>
      </c>
      <c r="E99" s="90" t="s">
        <v>108</v>
      </c>
      <c r="F99" s="92">
        <v>1.1666666666666667E-2</v>
      </c>
      <c r="G99" s="93">
        <v>44669.433333333334</v>
      </c>
      <c r="H99" s="93">
        <v>44669.445138888892</v>
      </c>
      <c r="I99" s="93">
        <v>44669.395833333336</v>
      </c>
    </row>
    <row r="100" spans="1:9" x14ac:dyDescent="0.25">
      <c r="A100" s="70">
        <v>66</v>
      </c>
      <c r="B100" s="89" t="s">
        <v>171</v>
      </c>
      <c r="C100" s="90">
        <v>53113395</v>
      </c>
      <c r="D100" s="90">
        <v>53111323</v>
      </c>
      <c r="E100" s="90" t="s">
        <v>108</v>
      </c>
      <c r="F100" s="92">
        <v>9.0949074074074085E-2</v>
      </c>
      <c r="G100" s="93">
        <v>44669.433333333334</v>
      </c>
      <c r="H100" s="93">
        <v>44669.524305555555</v>
      </c>
      <c r="I100" s="93">
        <v>44669.395833333336</v>
      </c>
    </row>
    <row r="101" spans="1:9" x14ac:dyDescent="0.25">
      <c r="A101" s="69">
        <v>67</v>
      </c>
      <c r="B101" s="89" t="s">
        <v>169</v>
      </c>
      <c r="C101" s="90">
        <v>53113394</v>
      </c>
      <c r="D101" s="90">
        <v>53111323</v>
      </c>
      <c r="E101" s="90" t="s">
        <v>170</v>
      </c>
      <c r="F101" s="92">
        <v>0</v>
      </c>
      <c r="G101" s="91"/>
      <c r="H101" s="93">
        <v>44669.433333333334</v>
      </c>
      <c r="I101" s="93">
        <v>44669.395833333336</v>
      </c>
    </row>
    <row r="102" spans="1:9" x14ac:dyDescent="0.25">
      <c r="A102" s="70">
        <v>68</v>
      </c>
      <c r="B102" s="89" t="s">
        <v>172</v>
      </c>
      <c r="C102" s="90">
        <v>53113519</v>
      </c>
      <c r="D102" s="90">
        <v>53111323</v>
      </c>
      <c r="E102" s="90" t="s">
        <v>108</v>
      </c>
      <c r="F102" s="92">
        <v>4.6296296296296294E-5</v>
      </c>
      <c r="G102" s="93">
        <v>44669.445138888892</v>
      </c>
      <c r="H102" s="93">
        <v>44669.445138888892</v>
      </c>
      <c r="I102" s="93">
        <v>44669.395833333336</v>
      </c>
    </row>
    <row r="103" spans="1:9" x14ac:dyDescent="0.25">
      <c r="A103" s="69">
        <v>69</v>
      </c>
      <c r="B103" s="89" t="s">
        <v>72</v>
      </c>
      <c r="C103" s="90">
        <v>53113511</v>
      </c>
      <c r="D103" s="90">
        <v>53111323</v>
      </c>
      <c r="E103" s="90" t="s">
        <v>108</v>
      </c>
      <c r="F103" s="92">
        <v>1.800925925925926E-2</v>
      </c>
      <c r="G103" s="93">
        <v>44669.433333333334</v>
      </c>
      <c r="H103" s="93">
        <v>44669.451388888891</v>
      </c>
      <c r="I103" s="93">
        <v>44669.395833333336</v>
      </c>
    </row>
    <row r="104" spans="1:9" x14ac:dyDescent="0.25">
      <c r="A104" s="70">
        <v>70</v>
      </c>
      <c r="B104" s="89" t="s">
        <v>173</v>
      </c>
      <c r="C104" s="90">
        <v>53112271</v>
      </c>
      <c r="D104" s="90">
        <v>53111323</v>
      </c>
      <c r="E104" s="90" t="s">
        <v>108</v>
      </c>
      <c r="F104" s="92">
        <v>3.8541666666666668E-3</v>
      </c>
      <c r="G104" s="93">
        <v>44669.445138888892</v>
      </c>
      <c r="H104" s="93">
        <v>44669.449305555558</v>
      </c>
      <c r="I104" s="93">
        <v>44669.395833333336</v>
      </c>
    </row>
    <row r="105" spans="1:9" x14ac:dyDescent="0.25">
      <c r="A105" s="69">
        <v>71</v>
      </c>
      <c r="B105" s="89" t="s">
        <v>75</v>
      </c>
      <c r="C105" s="90">
        <v>53111338</v>
      </c>
      <c r="D105" s="90">
        <v>53111323</v>
      </c>
      <c r="E105" s="90" t="s">
        <v>108</v>
      </c>
      <c r="F105" s="92">
        <v>6.0162037037037042E-2</v>
      </c>
      <c r="G105" s="93">
        <v>44669.43472222222</v>
      </c>
      <c r="H105" s="93">
        <v>44669.495138888888</v>
      </c>
      <c r="I105" s="93">
        <v>44669.395833333336</v>
      </c>
    </row>
    <row r="106" spans="1:9" x14ac:dyDescent="0.25">
      <c r="A106" s="70">
        <v>72</v>
      </c>
      <c r="B106" s="94" t="s">
        <v>174</v>
      </c>
      <c r="C106" s="90">
        <v>53113561</v>
      </c>
      <c r="D106" s="90">
        <v>53111338</v>
      </c>
      <c r="E106" s="90" t="s">
        <v>108</v>
      </c>
      <c r="F106" s="92">
        <v>0</v>
      </c>
      <c r="G106" s="93">
        <v>44669.43472222222</v>
      </c>
      <c r="H106" s="93">
        <v>44669.43472222222</v>
      </c>
      <c r="I106" s="93">
        <v>44669.395833333336</v>
      </c>
    </row>
    <row r="107" spans="1:9" x14ac:dyDescent="0.25">
      <c r="A107" s="69">
        <v>73</v>
      </c>
      <c r="B107" s="94" t="s">
        <v>175</v>
      </c>
      <c r="C107" s="90">
        <v>53113562</v>
      </c>
      <c r="D107" s="90">
        <v>53111338</v>
      </c>
      <c r="E107" s="90" t="s">
        <v>108</v>
      </c>
      <c r="F107" s="92">
        <v>1.5509259259259261E-3</v>
      </c>
      <c r="G107" s="93">
        <v>44669.43472222222</v>
      </c>
      <c r="H107" s="93">
        <v>44669.436805555553</v>
      </c>
      <c r="I107" s="93">
        <v>44669.395833333336</v>
      </c>
    </row>
    <row r="108" spans="1:9" x14ac:dyDescent="0.25">
      <c r="A108" s="70">
        <v>74</v>
      </c>
      <c r="B108" s="94" t="s">
        <v>176</v>
      </c>
      <c r="C108" s="90">
        <v>53111339</v>
      </c>
      <c r="D108" s="90">
        <v>53111338</v>
      </c>
      <c r="E108" s="90" t="s">
        <v>108</v>
      </c>
      <c r="F108" s="92">
        <v>6.0162037037037042E-2</v>
      </c>
      <c r="G108" s="93">
        <v>44669.43472222222</v>
      </c>
      <c r="H108" s="93">
        <v>44669.495138888888</v>
      </c>
      <c r="I108" s="93">
        <v>44669.395833333336</v>
      </c>
    </row>
    <row r="109" spans="1:9" x14ac:dyDescent="0.25">
      <c r="A109" s="69">
        <v>75</v>
      </c>
      <c r="B109" s="95" t="s">
        <v>182</v>
      </c>
      <c r="C109" s="90">
        <v>53113553</v>
      </c>
      <c r="D109" s="90">
        <v>53111339</v>
      </c>
      <c r="E109" s="90" t="s">
        <v>111</v>
      </c>
      <c r="F109" s="92">
        <v>0</v>
      </c>
      <c r="G109" s="91"/>
      <c r="H109" s="93">
        <v>44669.395833333336</v>
      </c>
      <c r="I109" s="93">
        <v>44669.395833333336</v>
      </c>
    </row>
    <row r="110" spans="1:9" x14ac:dyDescent="0.25">
      <c r="A110" s="70">
        <v>76</v>
      </c>
      <c r="B110" s="95" t="s">
        <v>183</v>
      </c>
      <c r="C110" s="90">
        <v>53113552</v>
      </c>
      <c r="D110" s="90">
        <v>53111339</v>
      </c>
      <c r="E110" s="90" t="s">
        <v>111</v>
      </c>
      <c r="F110" s="92">
        <v>0</v>
      </c>
      <c r="G110" s="91"/>
      <c r="H110" s="93">
        <v>44669.395833333336</v>
      </c>
      <c r="I110" s="93">
        <v>44669.395833333336</v>
      </c>
    </row>
    <row r="111" spans="1:9" x14ac:dyDescent="0.25">
      <c r="A111" s="69">
        <v>77</v>
      </c>
      <c r="B111" s="95" t="s">
        <v>184</v>
      </c>
      <c r="C111" s="90">
        <v>53113551</v>
      </c>
      <c r="D111" s="90">
        <v>53111339</v>
      </c>
      <c r="E111" s="90" t="s">
        <v>111</v>
      </c>
      <c r="F111" s="92">
        <v>0</v>
      </c>
      <c r="G111" s="91"/>
      <c r="H111" s="93">
        <v>44669.395833333336</v>
      </c>
      <c r="I111" s="93">
        <v>44669.395833333336</v>
      </c>
    </row>
    <row r="112" spans="1:9" x14ac:dyDescent="0.25">
      <c r="A112" s="70">
        <v>78</v>
      </c>
      <c r="B112" s="95" t="s">
        <v>188</v>
      </c>
      <c r="C112" s="90">
        <v>53113548</v>
      </c>
      <c r="D112" s="90">
        <v>53111339</v>
      </c>
      <c r="E112" s="90" t="s">
        <v>111</v>
      </c>
      <c r="F112" s="92">
        <v>0</v>
      </c>
      <c r="G112" s="91"/>
      <c r="H112" s="93">
        <v>44669.395833333336</v>
      </c>
      <c r="I112" s="93">
        <v>44669.395833333336</v>
      </c>
    </row>
    <row r="113" spans="1:9" x14ac:dyDescent="0.25">
      <c r="A113" s="69">
        <v>79</v>
      </c>
      <c r="B113" s="95" t="s">
        <v>186</v>
      </c>
      <c r="C113" s="90">
        <v>53113549</v>
      </c>
      <c r="D113" s="90">
        <v>53111339</v>
      </c>
      <c r="E113" s="90" t="s">
        <v>187</v>
      </c>
      <c r="F113" s="92">
        <v>0</v>
      </c>
      <c r="G113" s="91"/>
      <c r="H113" s="93">
        <v>44669.479166666664</v>
      </c>
      <c r="I113" s="93">
        <v>44669.395833333336</v>
      </c>
    </row>
    <row r="114" spans="1:9" x14ac:dyDescent="0.25">
      <c r="A114" s="70">
        <v>80</v>
      </c>
      <c r="B114" s="95" t="s">
        <v>185</v>
      </c>
      <c r="C114" s="90">
        <v>53113550</v>
      </c>
      <c r="D114" s="90">
        <v>53111339</v>
      </c>
      <c r="E114" s="90" t="s">
        <v>111</v>
      </c>
      <c r="F114" s="92">
        <v>0</v>
      </c>
      <c r="G114" s="91"/>
      <c r="H114" s="93">
        <v>44669.395833333336</v>
      </c>
      <c r="I114" s="93">
        <v>44669.395833333336</v>
      </c>
    </row>
    <row r="115" spans="1:9" x14ac:dyDescent="0.25">
      <c r="A115" s="69">
        <v>81</v>
      </c>
      <c r="B115" s="95" t="s">
        <v>129</v>
      </c>
      <c r="C115" s="90">
        <v>53113560</v>
      </c>
      <c r="D115" s="90">
        <v>53111339</v>
      </c>
      <c r="E115" s="90" t="s">
        <v>108</v>
      </c>
      <c r="F115" s="92">
        <v>0</v>
      </c>
      <c r="G115" s="93">
        <v>44669.495138888888</v>
      </c>
      <c r="H115" s="93">
        <v>44669.495138888888</v>
      </c>
      <c r="I115" s="93">
        <v>44669.395833333336</v>
      </c>
    </row>
    <row r="116" spans="1:9" x14ac:dyDescent="0.25">
      <c r="A116" s="70">
        <v>82</v>
      </c>
      <c r="B116" s="95" t="s">
        <v>76</v>
      </c>
      <c r="C116" s="90">
        <v>53113558</v>
      </c>
      <c r="D116" s="90">
        <v>53111339</v>
      </c>
      <c r="E116" s="90" t="s">
        <v>108</v>
      </c>
      <c r="F116" s="92">
        <v>7.407407407407407E-4</v>
      </c>
      <c r="G116" s="93">
        <v>44669.494444444441</v>
      </c>
      <c r="H116" s="93">
        <v>44669.495138888888</v>
      </c>
      <c r="I116" s="93">
        <v>44669.395833333336</v>
      </c>
    </row>
    <row r="117" spans="1:9" x14ac:dyDescent="0.25">
      <c r="A117" s="69">
        <v>83</v>
      </c>
      <c r="B117" s="95" t="s">
        <v>177</v>
      </c>
      <c r="C117" s="90">
        <v>53113557</v>
      </c>
      <c r="D117" s="90">
        <v>53111339</v>
      </c>
      <c r="E117" s="90" t="s">
        <v>108</v>
      </c>
      <c r="F117" s="92">
        <v>3.5879629629629635E-4</v>
      </c>
      <c r="G117" s="93">
        <v>44669.493750000001</v>
      </c>
      <c r="H117" s="93">
        <v>44669.494444444441</v>
      </c>
      <c r="I117" s="93">
        <v>44669.395833333336</v>
      </c>
    </row>
    <row r="118" spans="1:9" x14ac:dyDescent="0.25">
      <c r="A118" s="70">
        <v>84</v>
      </c>
      <c r="B118" s="95" t="s">
        <v>178</v>
      </c>
      <c r="C118" s="90">
        <v>53113556</v>
      </c>
      <c r="D118" s="90">
        <v>53111339</v>
      </c>
      <c r="E118" s="90" t="s">
        <v>108</v>
      </c>
      <c r="F118" s="92">
        <v>9.3749999999999997E-3</v>
      </c>
      <c r="G118" s="93">
        <v>44669.484722222223</v>
      </c>
      <c r="H118" s="93">
        <v>44669.493750000001</v>
      </c>
      <c r="I118" s="93">
        <v>44669.395833333336</v>
      </c>
    </row>
    <row r="119" spans="1:9" x14ac:dyDescent="0.25">
      <c r="A119" s="69">
        <v>85</v>
      </c>
      <c r="B119" s="95" t="s">
        <v>179</v>
      </c>
      <c r="C119" s="90">
        <v>53113555</v>
      </c>
      <c r="D119" s="90">
        <v>53111339</v>
      </c>
      <c r="E119" s="90" t="s">
        <v>108</v>
      </c>
      <c r="F119" s="92">
        <v>3.4722222222222224E-4</v>
      </c>
      <c r="G119" s="93">
        <v>44669.484722222223</v>
      </c>
      <c r="H119" s="93">
        <v>44669.484722222223</v>
      </c>
      <c r="I119" s="93">
        <v>44669.395833333336</v>
      </c>
    </row>
    <row r="120" spans="1:9" x14ac:dyDescent="0.25">
      <c r="A120" s="70">
        <v>86</v>
      </c>
      <c r="B120" s="95" t="s">
        <v>180</v>
      </c>
      <c r="C120" s="90">
        <v>53113559</v>
      </c>
      <c r="D120" s="90">
        <v>53111339</v>
      </c>
      <c r="E120" s="90" t="s">
        <v>108</v>
      </c>
      <c r="F120" s="92">
        <v>1.736111111111111E-3</v>
      </c>
      <c r="G120" s="93">
        <v>44669.479166666664</v>
      </c>
      <c r="H120" s="93">
        <v>44669.481249999997</v>
      </c>
      <c r="I120" s="93">
        <v>44669.395833333336</v>
      </c>
    </row>
    <row r="121" spans="1:9" x14ac:dyDescent="0.25">
      <c r="A121" s="69">
        <v>87</v>
      </c>
      <c r="B121" s="95" t="s">
        <v>191</v>
      </c>
      <c r="C121" s="90">
        <v>53113554</v>
      </c>
      <c r="D121" s="90">
        <v>53111339</v>
      </c>
      <c r="E121" s="90" t="s">
        <v>108</v>
      </c>
      <c r="F121" s="92">
        <v>5.208333333333333E-3</v>
      </c>
      <c r="G121" s="93">
        <v>44669.479166666664</v>
      </c>
      <c r="H121" s="93">
        <v>44669.484722222223</v>
      </c>
      <c r="I121" s="93">
        <v>44669.395833333336</v>
      </c>
    </row>
    <row r="122" spans="1:9" x14ac:dyDescent="0.25">
      <c r="A122" s="70">
        <v>88</v>
      </c>
      <c r="B122" s="95" t="s">
        <v>189</v>
      </c>
      <c r="C122" s="90">
        <v>53113547</v>
      </c>
      <c r="D122" s="90">
        <v>53111339</v>
      </c>
      <c r="E122" s="90" t="s">
        <v>111</v>
      </c>
      <c r="F122" s="92">
        <v>0</v>
      </c>
      <c r="G122" s="91"/>
      <c r="H122" s="93">
        <v>44669.395833333336</v>
      </c>
      <c r="I122" s="93">
        <v>44669.395833333336</v>
      </c>
    </row>
    <row r="123" spans="1:9" x14ac:dyDescent="0.25">
      <c r="A123" s="69">
        <v>89</v>
      </c>
      <c r="B123" s="95" t="s">
        <v>181</v>
      </c>
      <c r="C123" s="90">
        <v>53114091</v>
      </c>
      <c r="D123" s="90">
        <v>53111339</v>
      </c>
      <c r="E123" s="90" t="s">
        <v>111</v>
      </c>
      <c r="F123" s="92">
        <v>0</v>
      </c>
      <c r="G123" s="91"/>
      <c r="H123" s="93">
        <v>44669.395833333336</v>
      </c>
      <c r="I123" s="93">
        <v>44669.395833333336</v>
      </c>
    </row>
    <row r="124" spans="1:9" x14ac:dyDescent="0.25">
      <c r="A124" s="70">
        <v>90</v>
      </c>
      <c r="B124" s="95" t="s">
        <v>190</v>
      </c>
      <c r="C124" s="90">
        <v>53114087</v>
      </c>
      <c r="D124" s="90">
        <v>53111339</v>
      </c>
      <c r="E124" s="90" t="s">
        <v>111</v>
      </c>
      <c r="F124" s="92">
        <v>0</v>
      </c>
      <c r="G124" s="91"/>
      <c r="H124" s="93">
        <v>44669.395833333336</v>
      </c>
      <c r="I124" s="93">
        <v>44669.395833333336</v>
      </c>
    </row>
    <row r="125" spans="1:9" x14ac:dyDescent="0.25">
      <c r="A125" s="69">
        <v>91</v>
      </c>
      <c r="B125" s="95" t="s">
        <v>202</v>
      </c>
      <c r="C125" s="90">
        <v>53114080</v>
      </c>
      <c r="D125" s="90">
        <v>53111339</v>
      </c>
      <c r="E125" s="90" t="s">
        <v>111</v>
      </c>
      <c r="F125" s="92">
        <v>0</v>
      </c>
      <c r="G125" s="91"/>
      <c r="H125" s="93">
        <v>44669.395833333336</v>
      </c>
      <c r="I125" s="93">
        <v>44669.395833333336</v>
      </c>
    </row>
    <row r="126" spans="1:9" x14ac:dyDescent="0.25">
      <c r="A126" s="70">
        <v>92</v>
      </c>
      <c r="B126" s="95" t="s">
        <v>192</v>
      </c>
      <c r="C126" s="90">
        <v>53113544</v>
      </c>
      <c r="D126" s="90">
        <v>53111339</v>
      </c>
      <c r="E126" s="90" t="s">
        <v>108</v>
      </c>
      <c r="F126" s="92">
        <v>4.5370370370370365E-3</v>
      </c>
      <c r="G126" s="93">
        <v>44669.474999999999</v>
      </c>
      <c r="H126" s="93">
        <v>44669.479166666664</v>
      </c>
      <c r="I126" s="93">
        <v>44669.395833333336</v>
      </c>
    </row>
    <row r="127" spans="1:9" x14ac:dyDescent="0.25">
      <c r="A127" s="69">
        <v>93</v>
      </c>
      <c r="B127" s="95" t="s">
        <v>193</v>
      </c>
      <c r="C127" s="90">
        <v>53113543</v>
      </c>
      <c r="D127" s="90">
        <v>53111339</v>
      </c>
      <c r="E127" s="90" t="s">
        <v>108</v>
      </c>
      <c r="F127" s="92">
        <v>1.0416666666666667E-3</v>
      </c>
      <c r="G127" s="93">
        <v>44669.473611111112</v>
      </c>
      <c r="H127" s="93">
        <v>44669.474999999999</v>
      </c>
      <c r="I127" s="93">
        <v>44669.395833333336</v>
      </c>
    </row>
    <row r="128" spans="1:9" x14ac:dyDescent="0.25">
      <c r="A128" s="70">
        <v>94</v>
      </c>
      <c r="B128" s="95" t="s">
        <v>194</v>
      </c>
      <c r="C128" s="90">
        <v>53114090</v>
      </c>
      <c r="D128" s="90">
        <v>53111339</v>
      </c>
      <c r="E128" s="90" t="s">
        <v>108</v>
      </c>
      <c r="F128" s="92">
        <v>8.1018518518518516E-5</v>
      </c>
      <c r="G128" s="93">
        <v>44669.473611111112</v>
      </c>
      <c r="H128" s="93">
        <v>44669.473611111112</v>
      </c>
      <c r="I128" s="93">
        <v>44669.395833333336</v>
      </c>
    </row>
    <row r="129" spans="1:9" x14ac:dyDescent="0.25">
      <c r="A129" s="69">
        <v>95</v>
      </c>
      <c r="B129" s="95" t="s">
        <v>195</v>
      </c>
      <c r="C129" s="90">
        <v>53114089</v>
      </c>
      <c r="D129" s="90">
        <v>53111339</v>
      </c>
      <c r="E129" s="90" t="s">
        <v>108</v>
      </c>
      <c r="F129" s="92">
        <v>7.0601851851851847E-4</v>
      </c>
      <c r="G129" s="93">
        <v>44669.472916666666</v>
      </c>
      <c r="H129" s="93">
        <v>44669.473611111112</v>
      </c>
      <c r="I129" s="93">
        <v>44669.395833333336</v>
      </c>
    </row>
    <row r="130" spans="1:9" x14ac:dyDescent="0.25">
      <c r="A130" s="70">
        <v>96</v>
      </c>
      <c r="B130" s="95" t="s">
        <v>196</v>
      </c>
      <c r="C130" s="90">
        <v>53114088</v>
      </c>
      <c r="D130" s="90">
        <v>53111339</v>
      </c>
      <c r="E130" s="90" t="s">
        <v>108</v>
      </c>
      <c r="F130" s="92">
        <v>1.8402777777777778E-2</v>
      </c>
      <c r="G130" s="93">
        <v>44669.454861111109</v>
      </c>
      <c r="H130" s="93">
        <v>44669.472916666666</v>
      </c>
      <c r="I130" s="93">
        <v>44669.395833333336</v>
      </c>
    </row>
    <row r="131" spans="1:9" x14ac:dyDescent="0.25">
      <c r="A131" s="69">
        <v>97</v>
      </c>
      <c r="B131" s="95" t="s">
        <v>197</v>
      </c>
      <c r="C131" s="90">
        <v>53114086</v>
      </c>
      <c r="D131" s="90">
        <v>53111339</v>
      </c>
      <c r="E131" s="90" t="s">
        <v>108</v>
      </c>
      <c r="F131" s="92">
        <v>6.9444444444444447E-4</v>
      </c>
      <c r="G131" s="93">
        <v>44669.45416666667</v>
      </c>
      <c r="H131" s="93">
        <v>44669.454861111109</v>
      </c>
      <c r="I131" s="93">
        <v>44669.395833333336</v>
      </c>
    </row>
    <row r="132" spans="1:9" x14ac:dyDescent="0.25">
      <c r="A132" s="70">
        <v>98</v>
      </c>
      <c r="B132" s="95" t="s">
        <v>198</v>
      </c>
      <c r="C132" s="90">
        <v>53114085</v>
      </c>
      <c r="D132" s="90">
        <v>53111339</v>
      </c>
      <c r="E132" s="90" t="s">
        <v>108</v>
      </c>
      <c r="F132" s="92">
        <v>1.736111111111111E-3</v>
      </c>
      <c r="G132" s="93">
        <v>44669.45208333333</v>
      </c>
      <c r="H132" s="93">
        <v>44669.45416666667</v>
      </c>
      <c r="I132" s="93">
        <v>44669.395833333336</v>
      </c>
    </row>
    <row r="133" spans="1:9" x14ac:dyDescent="0.25">
      <c r="A133" s="69">
        <v>99</v>
      </c>
      <c r="B133" s="95" t="s">
        <v>199</v>
      </c>
      <c r="C133" s="90">
        <v>53114084</v>
      </c>
      <c r="D133" s="90">
        <v>53111339</v>
      </c>
      <c r="E133" s="90" t="s">
        <v>108</v>
      </c>
      <c r="F133" s="92">
        <v>5.208333333333333E-3</v>
      </c>
      <c r="G133" s="93">
        <v>44669.447222222225</v>
      </c>
      <c r="H133" s="93">
        <v>44669.45208333333</v>
      </c>
      <c r="I133" s="93">
        <v>44669.395833333336</v>
      </c>
    </row>
    <row r="134" spans="1:9" x14ac:dyDescent="0.25">
      <c r="A134" s="70">
        <v>100</v>
      </c>
      <c r="B134" s="95" t="s">
        <v>200</v>
      </c>
      <c r="C134" s="90">
        <v>53114083</v>
      </c>
      <c r="D134" s="90">
        <v>53111339</v>
      </c>
      <c r="E134" s="90" t="s">
        <v>108</v>
      </c>
      <c r="F134" s="92">
        <v>1.3888888888888889E-4</v>
      </c>
      <c r="G134" s="93">
        <v>44669.446527777778</v>
      </c>
      <c r="H134" s="93">
        <v>44669.447222222225</v>
      </c>
      <c r="I134" s="93">
        <v>44669.395833333336</v>
      </c>
    </row>
    <row r="135" spans="1:9" x14ac:dyDescent="0.25">
      <c r="A135" s="69">
        <v>101</v>
      </c>
      <c r="B135" s="95" t="s">
        <v>201</v>
      </c>
      <c r="C135" s="90">
        <v>53114082</v>
      </c>
      <c r="D135" s="90">
        <v>53111339</v>
      </c>
      <c r="E135" s="90" t="s">
        <v>108</v>
      </c>
      <c r="F135" s="92">
        <v>5.0925925925925921E-4</v>
      </c>
      <c r="G135" s="93">
        <v>44669.446527777778</v>
      </c>
      <c r="H135" s="93">
        <v>44669.446527777778</v>
      </c>
      <c r="I135" s="93">
        <v>44669.395833333336</v>
      </c>
    </row>
    <row r="136" spans="1:9" x14ac:dyDescent="0.25">
      <c r="A136" s="70">
        <v>102</v>
      </c>
      <c r="B136" s="95" t="s">
        <v>203</v>
      </c>
      <c r="C136" s="90">
        <v>53114081</v>
      </c>
      <c r="D136" s="90">
        <v>53111339</v>
      </c>
      <c r="E136" s="90" t="s">
        <v>108</v>
      </c>
      <c r="F136" s="92">
        <v>3.8310185185185183E-3</v>
      </c>
      <c r="G136" s="93">
        <v>44669.442361111112</v>
      </c>
      <c r="H136" s="93">
        <v>44669.446527777778</v>
      </c>
      <c r="I136" s="93">
        <v>44669.395833333336</v>
      </c>
    </row>
    <row r="137" spans="1:9" x14ac:dyDescent="0.25">
      <c r="A137" s="69">
        <v>103</v>
      </c>
      <c r="B137" s="95" t="s">
        <v>204</v>
      </c>
      <c r="C137" s="90">
        <v>53114079</v>
      </c>
      <c r="D137" s="90">
        <v>53111339</v>
      </c>
      <c r="E137" s="90" t="s">
        <v>108</v>
      </c>
      <c r="F137" s="92">
        <v>3.4722222222222224E-4</v>
      </c>
      <c r="G137" s="93">
        <v>44669.442361111112</v>
      </c>
      <c r="H137" s="93">
        <v>44669.442361111112</v>
      </c>
      <c r="I137" s="93">
        <v>44669.395833333336</v>
      </c>
    </row>
    <row r="138" spans="1:9" x14ac:dyDescent="0.25">
      <c r="A138" s="70">
        <v>104</v>
      </c>
      <c r="B138" s="95" t="s">
        <v>205</v>
      </c>
      <c r="C138" s="90">
        <v>53114078</v>
      </c>
      <c r="D138" s="90">
        <v>53111339</v>
      </c>
      <c r="E138" s="90" t="s">
        <v>108</v>
      </c>
      <c r="F138" s="92">
        <v>6.0069444444444441E-3</v>
      </c>
      <c r="G138" s="93">
        <v>44669.436111111114</v>
      </c>
      <c r="H138" s="93">
        <v>44669.442361111112</v>
      </c>
      <c r="I138" s="93">
        <v>44669.395833333336</v>
      </c>
    </row>
    <row r="139" spans="1:9" x14ac:dyDescent="0.25">
      <c r="A139" s="69">
        <v>105</v>
      </c>
      <c r="B139" s="95" t="s">
        <v>206</v>
      </c>
      <c r="C139" s="90">
        <v>53114077</v>
      </c>
      <c r="D139" s="90">
        <v>53111339</v>
      </c>
      <c r="E139" s="90" t="s">
        <v>108</v>
      </c>
      <c r="F139" s="92">
        <v>3.4722222222222224E-4</v>
      </c>
      <c r="G139" s="93">
        <v>44669.435416666667</v>
      </c>
      <c r="H139" s="93">
        <v>44669.436111111114</v>
      </c>
      <c r="I139" s="93">
        <v>44669.395833333336</v>
      </c>
    </row>
    <row r="140" spans="1:9" x14ac:dyDescent="0.25">
      <c r="A140" s="70">
        <v>106</v>
      </c>
      <c r="B140" s="95" t="s">
        <v>207</v>
      </c>
      <c r="C140" s="90">
        <v>53114076</v>
      </c>
      <c r="D140" s="90">
        <v>53111339</v>
      </c>
      <c r="E140" s="90" t="s">
        <v>108</v>
      </c>
      <c r="F140" s="92">
        <v>6.9444444444444447E-4</v>
      </c>
      <c r="G140" s="93">
        <v>44669.43472222222</v>
      </c>
      <c r="H140" s="93">
        <v>44669.435416666667</v>
      </c>
      <c r="I140" s="93">
        <v>44669.395833333336</v>
      </c>
    </row>
    <row r="141" spans="1:9" x14ac:dyDescent="0.25">
      <c r="A141" s="69">
        <v>107</v>
      </c>
      <c r="B141" s="95" t="s">
        <v>208</v>
      </c>
      <c r="C141" s="90">
        <v>53112292</v>
      </c>
      <c r="D141" s="90">
        <v>53111339</v>
      </c>
      <c r="E141" s="90" t="s">
        <v>108</v>
      </c>
      <c r="F141" s="92">
        <v>8.1018518518518516E-5</v>
      </c>
      <c r="G141" s="93">
        <v>44669.43472222222</v>
      </c>
      <c r="H141" s="93">
        <v>44669.43472222222</v>
      </c>
      <c r="I141" s="93">
        <v>44669.395833333336</v>
      </c>
    </row>
    <row r="142" spans="1:9" x14ac:dyDescent="0.25">
      <c r="A142" s="70">
        <v>108</v>
      </c>
      <c r="B142" s="95" t="s">
        <v>209</v>
      </c>
      <c r="C142" s="90">
        <v>53111341</v>
      </c>
      <c r="D142" s="90">
        <v>53111339</v>
      </c>
      <c r="E142" s="90" t="s">
        <v>108</v>
      </c>
      <c r="F142" s="92">
        <v>0</v>
      </c>
      <c r="G142" s="93">
        <v>44669.43472222222</v>
      </c>
      <c r="H142" s="93">
        <v>44669.43472222222</v>
      </c>
      <c r="I142" s="93">
        <v>44669.395833333336</v>
      </c>
    </row>
    <row r="143" spans="1:9" x14ac:dyDescent="0.25">
      <c r="A143" s="69">
        <v>109</v>
      </c>
      <c r="B143" s="95" t="s">
        <v>129</v>
      </c>
      <c r="C143" s="90">
        <v>53111340</v>
      </c>
      <c r="D143" s="90">
        <v>53111339</v>
      </c>
      <c r="E143" s="90" t="s">
        <v>108</v>
      </c>
      <c r="F143" s="92">
        <v>1.1574074074074073E-5</v>
      </c>
      <c r="G143" s="93">
        <v>44669.43472222222</v>
      </c>
      <c r="H143" s="93">
        <v>44669.43472222222</v>
      </c>
      <c r="I143" s="93">
        <v>44669.395833333336</v>
      </c>
    </row>
    <row r="144" spans="1:9" x14ac:dyDescent="0.25">
      <c r="A144" s="70">
        <v>110</v>
      </c>
      <c r="B144" s="89" t="s">
        <v>77</v>
      </c>
      <c r="C144" s="90">
        <v>53113563</v>
      </c>
      <c r="D144" s="90">
        <v>53111323</v>
      </c>
      <c r="E144" s="90" t="s">
        <v>108</v>
      </c>
      <c r="F144" s="92">
        <v>0.14581018518518518</v>
      </c>
      <c r="G144" s="93">
        <v>44669.451388888891</v>
      </c>
      <c r="H144" s="93">
        <v>44669.597222222219</v>
      </c>
      <c r="I144" s="93">
        <v>44669.395833333336</v>
      </c>
    </row>
    <row r="145" spans="1:9" x14ac:dyDescent="0.25">
      <c r="A145" s="69">
        <v>111</v>
      </c>
      <c r="B145" s="94" t="s">
        <v>213</v>
      </c>
      <c r="C145" s="90">
        <v>53110417</v>
      </c>
      <c r="D145" s="90">
        <v>53113563</v>
      </c>
      <c r="E145" s="90" t="s">
        <v>111</v>
      </c>
      <c r="F145" s="92">
        <v>0</v>
      </c>
      <c r="G145" s="91"/>
      <c r="H145" s="93">
        <v>44669.395833333336</v>
      </c>
      <c r="I145" s="93">
        <v>44669.395833333336</v>
      </c>
    </row>
    <row r="146" spans="1:9" x14ac:dyDescent="0.25">
      <c r="A146" s="70">
        <v>112</v>
      </c>
      <c r="B146" s="94" t="s">
        <v>211</v>
      </c>
      <c r="C146" s="90">
        <v>53110425</v>
      </c>
      <c r="D146" s="90">
        <v>53113563</v>
      </c>
      <c r="E146" s="90" t="s">
        <v>111</v>
      </c>
      <c r="F146" s="92">
        <v>0</v>
      </c>
      <c r="G146" s="91"/>
      <c r="H146" s="93">
        <v>44669.395833333336</v>
      </c>
      <c r="I146" s="93">
        <v>44669.395833333336</v>
      </c>
    </row>
    <row r="147" spans="1:9" x14ac:dyDescent="0.25">
      <c r="A147" s="69">
        <v>113</v>
      </c>
      <c r="B147" s="94" t="s">
        <v>210</v>
      </c>
      <c r="C147" s="90">
        <v>53110418</v>
      </c>
      <c r="D147" s="90">
        <v>53113563</v>
      </c>
      <c r="E147" s="90" t="s">
        <v>111</v>
      </c>
      <c r="F147" s="92">
        <v>0</v>
      </c>
      <c r="G147" s="91"/>
      <c r="H147" s="93">
        <v>44669.395833333336</v>
      </c>
      <c r="I147" s="93">
        <v>44669.395833333336</v>
      </c>
    </row>
    <row r="148" spans="1:9" x14ac:dyDescent="0.25">
      <c r="A148" s="70">
        <v>114</v>
      </c>
      <c r="B148" s="94" t="s">
        <v>212</v>
      </c>
      <c r="C148" s="90">
        <v>53110420</v>
      </c>
      <c r="D148" s="90">
        <v>53113563</v>
      </c>
      <c r="E148" s="90" t="s">
        <v>111</v>
      </c>
      <c r="F148" s="92">
        <v>0</v>
      </c>
      <c r="G148" s="91"/>
      <c r="H148" s="93">
        <v>44669.395833333336</v>
      </c>
      <c r="I148" s="93">
        <v>44669.395833333336</v>
      </c>
    </row>
    <row r="149" spans="1:9" x14ac:dyDescent="0.25">
      <c r="A149" s="69">
        <v>115</v>
      </c>
      <c r="B149" s="94" t="s">
        <v>214</v>
      </c>
      <c r="C149" s="90">
        <v>53110427</v>
      </c>
      <c r="D149" s="90">
        <v>53113563</v>
      </c>
      <c r="E149" s="90" t="s">
        <v>108</v>
      </c>
      <c r="F149" s="92">
        <v>1.1574074074074073E-5</v>
      </c>
      <c r="G149" s="93">
        <v>44669.597222222219</v>
      </c>
      <c r="H149" s="93">
        <v>44669.597222222219</v>
      </c>
      <c r="I149" s="93">
        <v>44669.395833333336</v>
      </c>
    </row>
    <row r="150" spans="1:9" x14ac:dyDescent="0.25">
      <c r="A150" s="70">
        <v>116</v>
      </c>
      <c r="B150" s="94" t="s">
        <v>161</v>
      </c>
      <c r="C150" s="90">
        <v>53110426</v>
      </c>
      <c r="D150" s="90">
        <v>53113563</v>
      </c>
      <c r="E150" s="90" t="s">
        <v>108</v>
      </c>
      <c r="F150" s="92">
        <v>1.3773148148148147E-3</v>
      </c>
      <c r="G150" s="93">
        <v>44669.595833333333</v>
      </c>
      <c r="H150" s="93">
        <v>44669.597222222219</v>
      </c>
      <c r="I150" s="93">
        <v>44669.395833333336</v>
      </c>
    </row>
    <row r="151" spans="1:9" x14ac:dyDescent="0.25">
      <c r="A151" s="69">
        <v>117</v>
      </c>
      <c r="B151" s="94" t="s">
        <v>217</v>
      </c>
      <c r="C151" s="90">
        <v>53110421</v>
      </c>
      <c r="D151" s="90">
        <v>53113563</v>
      </c>
      <c r="E151" s="90" t="s">
        <v>108</v>
      </c>
      <c r="F151" s="92">
        <v>7.8125E-3</v>
      </c>
      <c r="G151" s="93">
        <v>44669.588194444441</v>
      </c>
      <c r="H151" s="93">
        <v>44669.595833333333</v>
      </c>
      <c r="I151" s="93">
        <v>44669.395833333336</v>
      </c>
    </row>
    <row r="152" spans="1:9" x14ac:dyDescent="0.25">
      <c r="A152" s="70">
        <v>118</v>
      </c>
      <c r="B152" s="94" t="s">
        <v>215</v>
      </c>
      <c r="C152" s="90">
        <v>53110423</v>
      </c>
      <c r="D152" s="90">
        <v>53113563</v>
      </c>
      <c r="E152" s="90" t="s">
        <v>108</v>
      </c>
      <c r="F152" s="92">
        <v>8.2175925925925917E-4</v>
      </c>
      <c r="G152" s="93">
        <v>44669.588194444441</v>
      </c>
      <c r="H152" s="93">
        <v>44669.588888888888</v>
      </c>
      <c r="I152" s="93">
        <v>44669.395833333336</v>
      </c>
    </row>
    <row r="153" spans="1:9" x14ac:dyDescent="0.25">
      <c r="A153" s="69">
        <v>119</v>
      </c>
      <c r="B153" s="94" t="s">
        <v>216</v>
      </c>
      <c r="C153" s="90">
        <v>53110422</v>
      </c>
      <c r="D153" s="90">
        <v>53113563</v>
      </c>
      <c r="E153" s="90" t="s">
        <v>108</v>
      </c>
      <c r="F153" s="92">
        <v>6.9444444444444444E-5</v>
      </c>
      <c r="G153" s="93">
        <v>44669.588194444441</v>
      </c>
      <c r="H153" s="93">
        <v>44669.588194444441</v>
      </c>
      <c r="I153" s="93">
        <v>44669.395833333336</v>
      </c>
    </row>
    <row r="154" spans="1:9" x14ac:dyDescent="0.25">
      <c r="A154" s="70">
        <v>120</v>
      </c>
      <c r="B154" s="94" t="s">
        <v>219</v>
      </c>
      <c r="C154" s="90">
        <v>53110424</v>
      </c>
      <c r="D154" s="90">
        <v>53113563</v>
      </c>
      <c r="E154" s="90" t="s">
        <v>108</v>
      </c>
      <c r="F154" s="92">
        <v>1.3530092592592594E-2</v>
      </c>
      <c r="G154" s="93">
        <v>44669.577777777777</v>
      </c>
      <c r="H154" s="93">
        <v>44669.591666666667</v>
      </c>
      <c r="I154" s="93">
        <v>44669.395833333336</v>
      </c>
    </row>
    <row r="155" spans="1:9" x14ac:dyDescent="0.25">
      <c r="A155" s="69">
        <v>121</v>
      </c>
      <c r="B155" s="94" t="s">
        <v>218</v>
      </c>
      <c r="C155" s="90">
        <v>53110419</v>
      </c>
      <c r="D155" s="90">
        <v>53113563</v>
      </c>
      <c r="E155" s="90" t="s">
        <v>108</v>
      </c>
      <c r="F155" s="92">
        <v>1.0023148148148147E-2</v>
      </c>
      <c r="G155" s="93">
        <v>44669.577777777777</v>
      </c>
      <c r="H155" s="93">
        <v>44669.588194444441</v>
      </c>
      <c r="I155" s="93">
        <v>44669.395833333336</v>
      </c>
    </row>
    <row r="156" spans="1:9" x14ac:dyDescent="0.25">
      <c r="A156" s="70">
        <v>122</v>
      </c>
      <c r="B156" s="94" t="s">
        <v>220</v>
      </c>
      <c r="C156" s="90">
        <v>53110416</v>
      </c>
      <c r="D156" s="90">
        <v>53113563</v>
      </c>
      <c r="E156" s="90" t="s">
        <v>108</v>
      </c>
      <c r="F156" s="92">
        <v>9.2592592592592588E-5</v>
      </c>
      <c r="G156" s="93">
        <v>44669.577777777777</v>
      </c>
      <c r="H156" s="93">
        <v>44669.577777777777</v>
      </c>
      <c r="I156" s="93">
        <v>44669.395833333336</v>
      </c>
    </row>
    <row r="157" spans="1:9" x14ac:dyDescent="0.25">
      <c r="A157" s="69">
        <v>123</v>
      </c>
      <c r="B157" s="94" t="s">
        <v>221</v>
      </c>
      <c r="C157" s="90">
        <v>53110415</v>
      </c>
      <c r="D157" s="90">
        <v>53113563</v>
      </c>
      <c r="E157" s="90" t="s">
        <v>108</v>
      </c>
      <c r="F157" s="92">
        <v>1.1956018518518517E-2</v>
      </c>
      <c r="G157" s="93">
        <v>44669.565972222219</v>
      </c>
      <c r="H157" s="93">
        <v>44669.577777777777</v>
      </c>
      <c r="I157" s="93">
        <v>44669.395833333336</v>
      </c>
    </row>
    <row r="158" spans="1:9" x14ac:dyDescent="0.25">
      <c r="A158" s="70">
        <v>124</v>
      </c>
      <c r="B158" s="94" t="s">
        <v>222</v>
      </c>
      <c r="C158" s="90">
        <v>53110414</v>
      </c>
      <c r="D158" s="90">
        <v>53113563</v>
      </c>
      <c r="E158" s="90" t="s">
        <v>108</v>
      </c>
      <c r="F158" s="92">
        <v>2.9490740740740744E-2</v>
      </c>
      <c r="G158" s="93">
        <v>44669.536805555559</v>
      </c>
      <c r="H158" s="93">
        <v>44669.565972222219</v>
      </c>
      <c r="I158" s="93">
        <v>44669.395833333336</v>
      </c>
    </row>
    <row r="159" spans="1:9" x14ac:dyDescent="0.25">
      <c r="A159" s="69">
        <v>125</v>
      </c>
      <c r="B159" s="94" t="s">
        <v>223</v>
      </c>
      <c r="C159" s="90">
        <v>53110413</v>
      </c>
      <c r="D159" s="90">
        <v>53113563</v>
      </c>
      <c r="E159" s="90" t="s">
        <v>108</v>
      </c>
      <c r="F159" s="92">
        <v>9.2592592592592588E-5</v>
      </c>
      <c r="G159" s="93">
        <v>44669.536111111112</v>
      </c>
      <c r="H159" s="93">
        <v>44669.536805555559</v>
      </c>
      <c r="I159" s="93">
        <v>44669.395833333336</v>
      </c>
    </row>
    <row r="160" spans="1:9" x14ac:dyDescent="0.25">
      <c r="A160" s="70">
        <v>126</v>
      </c>
      <c r="B160" s="94" t="s">
        <v>224</v>
      </c>
      <c r="C160" s="90">
        <v>53110412</v>
      </c>
      <c r="D160" s="90">
        <v>53113563</v>
      </c>
      <c r="E160" s="90" t="s">
        <v>108</v>
      </c>
      <c r="F160" s="92">
        <v>6.9444444444444444E-5</v>
      </c>
      <c r="G160" s="93">
        <v>44669.536111111112</v>
      </c>
      <c r="H160" s="93">
        <v>44669.536111111112</v>
      </c>
      <c r="I160" s="93">
        <v>44669.395833333336</v>
      </c>
    </row>
    <row r="161" spans="1:9" x14ac:dyDescent="0.25">
      <c r="A161" s="69">
        <v>127</v>
      </c>
      <c r="B161" s="94" t="s">
        <v>225</v>
      </c>
      <c r="C161" s="90">
        <v>53110411</v>
      </c>
      <c r="D161" s="90">
        <v>53113563</v>
      </c>
      <c r="E161" s="90" t="s">
        <v>108</v>
      </c>
      <c r="F161" s="92">
        <v>5.138888888888889E-3</v>
      </c>
      <c r="G161" s="93">
        <v>44669.53125</v>
      </c>
      <c r="H161" s="93">
        <v>44669.536111111112</v>
      </c>
      <c r="I161" s="93">
        <v>44669.395833333336</v>
      </c>
    </row>
    <row r="162" spans="1:9" x14ac:dyDescent="0.25">
      <c r="A162" s="70">
        <v>128</v>
      </c>
      <c r="B162" s="94" t="s">
        <v>226</v>
      </c>
      <c r="C162" s="90">
        <v>53110410</v>
      </c>
      <c r="D162" s="90">
        <v>53113563</v>
      </c>
      <c r="E162" s="90" t="s">
        <v>108</v>
      </c>
      <c r="F162" s="92">
        <v>4.9537037037037041E-3</v>
      </c>
      <c r="G162" s="93">
        <v>44669.526388888888</v>
      </c>
      <c r="H162" s="93">
        <v>44669.53125</v>
      </c>
      <c r="I162" s="93">
        <v>44669.395833333336</v>
      </c>
    </row>
    <row r="163" spans="1:9" x14ac:dyDescent="0.25">
      <c r="A163" s="69">
        <v>129</v>
      </c>
      <c r="B163" s="94" t="s">
        <v>132</v>
      </c>
      <c r="C163" s="90">
        <v>53110409</v>
      </c>
      <c r="D163" s="90">
        <v>53113563</v>
      </c>
      <c r="E163" s="90" t="s">
        <v>108</v>
      </c>
      <c r="F163" s="92">
        <v>2.3148148148148147E-5</v>
      </c>
      <c r="G163" s="93">
        <v>44669.45208333333</v>
      </c>
      <c r="H163" s="93">
        <v>44669.45208333333</v>
      </c>
      <c r="I163" s="93">
        <v>44669.395833333336</v>
      </c>
    </row>
    <row r="164" spans="1:9" x14ac:dyDescent="0.25">
      <c r="A164" s="70">
        <v>130</v>
      </c>
      <c r="B164" s="94" t="s">
        <v>231</v>
      </c>
      <c r="C164" s="90">
        <v>53113571</v>
      </c>
      <c r="D164" s="90">
        <v>53113563</v>
      </c>
      <c r="E164" s="90" t="s">
        <v>111</v>
      </c>
      <c r="F164" s="92">
        <v>0</v>
      </c>
      <c r="G164" s="91"/>
      <c r="H164" s="93">
        <v>44669.395833333336</v>
      </c>
      <c r="I164" s="93">
        <v>44669.395833333336</v>
      </c>
    </row>
    <row r="165" spans="1:9" x14ac:dyDescent="0.25">
      <c r="A165" s="69">
        <v>131</v>
      </c>
      <c r="B165" s="94" t="s">
        <v>229</v>
      </c>
      <c r="C165" s="90">
        <v>53113564</v>
      </c>
      <c r="D165" s="90">
        <v>53113563</v>
      </c>
      <c r="E165" s="90" t="s">
        <v>111</v>
      </c>
      <c r="F165" s="92">
        <v>0</v>
      </c>
      <c r="G165" s="91"/>
      <c r="H165" s="93">
        <v>44669.395833333336</v>
      </c>
      <c r="I165" s="93">
        <v>44669.395833333336</v>
      </c>
    </row>
    <row r="166" spans="1:9" x14ac:dyDescent="0.25">
      <c r="A166" s="70">
        <v>132</v>
      </c>
      <c r="B166" s="94" t="s">
        <v>232</v>
      </c>
      <c r="C166" s="90">
        <v>53113569</v>
      </c>
      <c r="D166" s="90">
        <v>53113563</v>
      </c>
      <c r="E166" s="90" t="s">
        <v>111</v>
      </c>
      <c r="F166" s="92">
        <v>0</v>
      </c>
      <c r="G166" s="91"/>
      <c r="H166" s="93">
        <v>44669.395833333336</v>
      </c>
      <c r="I166" s="93">
        <v>44669.395833333336</v>
      </c>
    </row>
    <row r="167" spans="1:9" x14ac:dyDescent="0.25">
      <c r="A167" s="69">
        <v>133</v>
      </c>
      <c r="B167" s="94" t="s">
        <v>230</v>
      </c>
      <c r="C167" s="90">
        <v>53113570</v>
      </c>
      <c r="D167" s="90">
        <v>53113563</v>
      </c>
      <c r="E167" s="90" t="s">
        <v>111</v>
      </c>
      <c r="F167" s="92">
        <v>0</v>
      </c>
      <c r="G167" s="91"/>
      <c r="H167" s="93">
        <v>44669.395833333336</v>
      </c>
      <c r="I167" s="93">
        <v>44669.395833333336</v>
      </c>
    </row>
    <row r="168" spans="1:9" x14ac:dyDescent="0.25">
      <c r="A168" s="70">
        <v>134</v>
      </c>
      <c r="B168" s="94" t="s">
        <v>136</v>
      </c>
      <c r="C168" s="90">
        <v>53113573</v>
      </c>
      <c r="D168" s="90">
        <v>53113563</v>
      </c>
      <c r="E168" s="90" t="s">
        <v>108</v>
      </c>
      <c r="F168" s="92">
        <v>1.1574074074074073E-5</v>
      </c>
      <c r="G168" s="93">
        <v>44669.45208333333</v>
      </c>
      <c r="H168" s="93">
        <v>44669.45208333333</v>
      </c>
      <c r="I168" s="93">
        <v>44669.395833333336</v>
      </c>
    </row>
    <row r="169" spans="1:9" x14ac:dyDescent="0.25">
      <c r="A169" s="69">
        <v>135</v>
      </c>
      <c r="B169" s="94" t="s">
        <v>233</v>
      </c>
      <c r="C169" s="90">
        <v>53113572</v>
      </c>
      <c r="D169" s="90">
        <v>53113563</v>
      </c>
      <c r="E169" s="90" t="s">
        <v>108</v>
      </c>
      <c r="F169" s="92">
        <v>4.6296296296296294E-5</v>
      </c>
      <c r="G169" s="93">
        <v>44669.45208333333</v>
      </c>
      <c r="H169" s="93">
        <v>44669.45208333333</v>
      </c>
      <c r="I169" s="93">
        <v>44669.395833333336</v>
      </c>
    </row>
    <row r="170" spans="1:9" x14ac:dyDescent="0.25">
      <c r="A170" s="70">
        <v>136</v>
      </c>
      <c r="B170" s="94" t="s">
        <v>134</v>
      </c>
      <c r="C170" s="90">
        <v>53113575</v>
      </c>
      <c r="D170" s="90">
        <v>53113563</v>
      </c>
      <c r="E170" s="90" t="s">
        <v>108</v>
      </c>
      <c r="F170" s="92">
        <v>1.1574074074074073E-5</v>
      </c>
      <c r="G170" s="93">
        <v>44669.45208333333</v>
      </c>
      <c r="H170" s="93">
        <v>44669.45208333333</v>
      </c>
      <c r="I170" s="93">
        <v>44669.395833333336</v>
      </c>
    </row>
    <row r="171" spans="1:9" x14ac:dyDescent="0.25">
      <c r="A171" s="69">
        <v>137</v>
      </c>
      <c r="B171" s="94" t="s">
        <v>227</v>
      </c>
      <c r="C171" s="90">
        <v>53113574</v>
      </c>
      <c r="D171" s="90">
        <v>53113563</v>
      </c>
      <c r="E171" s="90" t="s">
        <v>108</v>
      </c>
      <c r="F171" s="92">
        <v>4.6296296296296294E-5</v>
      </c>
      <c r="G171" s="93">
        <v>44669.45208333333</v>
      </c>
      <c r="H171" s="93">
        <v>44669.45208333333</v>
      </c>
      <c r="I171" s="93">
        <v>44669.395833333336</v>
      </c>
    </row>
    <row r="172" spans="1:9" x14ac:dyDescent="0.25">
      <c r="A172" s="70">
        <v>138</v>
      </c>
      <c r="B172" s="94" t="s">
        <v>228</v>
      </c>
      <c r="C172" s="90">
        <v>53113576</v>
      </c>
      <c r="D172" s="90">
        <v>53113563</v>
      </c>
      <c r="E172" s="90" t="s">
        <v>108</v>
      </c>
      <c r="F172" s="92">
        <v>4.6296296296296294E-5</v>
      </c>
      <c r="G172" s="93">
        <v>44669.451388888891</v>
      </c>
      <c r="H172" s="93">
        <v>44669.45208333333</v>
      </c>
      <c r="I172" s="93">
        <v>44669.395833333336</v>
      </c>
    </row>
    <row r="173" spans="1:9" x14ac:dyDescent="0.25">
      <c r="A173" s="69">
        <v>139</v>
      </c>
      <c r="B173" s="94" t="s">
        <v>234</v>
      </c>
      <c r="C173" s="90">
        <v>53113568</v>
      </c>
      <c r="D173" s="90">
        <v>53113563</v>
      </c>
      <c r="E173" s="90" t="s">
        <v>108</v>
      </c>
      <c r="F173" s="92">
        <v>1.7361111111111112E-4</v>
      </c>
      <c r="G173" s="93">
        <v>44669.451388888891</v>
      </c>
      <c r="H173" s="93">
        <v>44669.451388888891</v>
      </c>
      <c r="I173" s="93">
        <v>44669.395833333336</v>
      </c>
    </row>
    <row r="174" spans="1:9" x14ac:dyDescent="0.25">
      <c r="A174" s="70">
        <v>140</v>
      </c>
      <c r="B174" s="94" t="s">
        <v>236</v>
      </c>
      <c r="C174" s="90">
        <v>53113565</v>
      </c>
      <c r="D174" s="90">
        <v>53113563</v>
      </c>
      <c r="E174" s="90" t="s">
        <v>108</v>
      </c>
      <c r="F174" s="92">
        <v>1.273148148148148E-4</v>
      </c>
      <c r="G174" s="93">
        <v>44669.451388888891</v>
      </c>
      <c r="H174" s="93">
        <v>44669.451388888891</v>
      </c>
      <c r="I174" s="93">
        <v>44669.395833333336</v>
      </c>
    </row>
    <row r="175" spans="1:9" x14ac:dyDescent="0.25">
      <c r="A175" s="69">
        <v>141</v>
      </c>
      <c r="B175" s="94" t="s">
        <v>237</v>
      </c>
      <c r="C175" s="90">
        <v>53113567</v>
      </c>
      <c r="D175" s="90">
        <v>53113563</v>
      </c>
      <c r="E175" s="90" t="s">
        <v>108</v>
      </c>
      <c r="F175" s="92">
        <v>2.5462962962962961E-4</v>
      </c>
      <c r="G175" s="93">
        <v>44669.451388888891</v>
      </c>
      <c r="H175" s="93">
        <v>44669.45208333333</v>
      </c>
      <c r="I175" s="93">
        <v>44669.395833333336</v>
      </c>
    </row>
    <row r="176" spans="1:9" x14ac:dyDescent="0.25">
      <c r="A176" s="70">
        <v>142</v>
      </c>
      <c r="B176" s="94" t="s">
        <v>235</v>
      </c>
      <c r="C176" s="90">
        <v>53113566</v>
      </c>
      <c r="D176" s="90">
        <v>53113563</v>
      </c>
      <c r="E176" s="90" t="s">
        <v>108</v>
      </c>
      <c r="F176" s="92">
        <v>5.9027777777777778E-4</v>
      </c>
      <c r="G176" s="93">
        <v>44669.451388888891</v>
      </c>
      <c r="H176" s="93">
        <v>44669.45208333333</v>
      </c>
      <c r="I176" s="93">
        <v>44669.395833333336</v>
      </c>
    </row>
    <row r="177" spans="1:9" x14ac:dyDescent="0.25">
      <c r="A177" s="69">
        <v>143</v>
      </c>
      <c r="B177" s="89" t="s">
        <v>79</v>
      </c>
      <c r="C177" s="90">
        <v>53110444</v>
      </c>
      <c r="D177" s="90">
        <v>53111323</v>
      </c>
      <c r="E177" s="90" t="s">
        <v>108</v>
      </c>
      <c r="F177" s="92">
        <v>7.3379629629629628E-3</v>
      </c>
      <c r="G177" s="93">
        <v>44669.495833333334</v>
      </c>
      <c r="H177" s="93">
        <v>44669.50277777778</v>
      </c>
      <c r="I177" s="93">
        <v>44669.395833333336</v>
      </c>
    </row>
    <row r="178" spans="1:9" x14ac:dyDescent="0.25">
      <c r="A178" s="70">
        <v>144</v>
      </c>
      <c r="B178" s="94" t="s">
        <v>253</v>
      </c>
      <c r="C178" s="90">
        <v>53110445</v>
      </c>
      <c r="D178" s="90">
        <v>53110444</v>
      </c>
      <c r="E178" s="90" t="s">
        <v>111</v>
      </c>
      <c r="F178" s="92">
        <v>0</v>
      </c>
      <c r="G178" s="91"/>
      <c r="H178" s="93">
        <v>44669.395833333336</v>
      </c>
      <c r="I178" s="93">
        <v>44669.395833333336</v>
      </c>
    </row>
    <row r="179" spans="1:9" x14ac:dyDescent="0.25">
      <c r="A179" s="69">
        <v>145</v>
      </c>
      <c r="B179" s="94" t="s">
        <v>252</v>
      </c>
      <c r="C179" s="90">
        <v>53110446</v>
      </c>
      <c r="D179" s="90">
        <v>53110444</v>
      </c>
      <c r="E179" s="90" t="s">
        <v>111</v>
      </c>
      <c r="F179" s="92">
        <v>0</v>
      </c>
      <c r="G179" s="91"/>
      <c r="H179" s="93">
        <v>44669.395833333336</v>
      </c>
      <c r="I179" s="93">
        <v>44669.395833333336</v>
      </c>
    </row>
    <row r="180" spans="1:9" x14ac:dyDescent="0.25">
      <c r="A180" s="70">
        <v>146</v>
      </c>
      <c r="B180" s="94" t="s">
        <v>242</v>
      </c>
      <c r="C180" s="90">
        <v>53110457</v>
      </c>
      <c r="D180" s="90">
        <v>53110444</v>
      </c>
      <c r="E180" s="90" t="s">
        <v>108</v>
      </c>
      <c r="F180" s="92">
        <v>4.6296296296296293E-4</v>
      </c>
      <c r="G180" s="93">
        <v>44669.50277777778</v>
      </c>
      <c r="H180" s="93">
        <v>44669.50277777778</v>
      </c>
      <c r="I180" s="93">
        <v>44669.395833333336</v>
      </c>
    </row>
    <row r="181" spans="1:9" x14ac:dyDescent="0.25">
      <c r="A181" s="69">
        <v>147</v>
      </c>
      <c r="B181" s="94" t="s">
        <v>243</v>
      </c>
      <c r="C181" s="90">
        <v>53110456</v>
      </c>
      <c r="D181" s="90">
        <v>53110444</v>
      </c>
      <c r="E181" s="90" t="s">
        <v>108</v>
      </c>
      <c r="F181" s="92">
        <v>1.1574074074074073E-5</v>
      </c>
      <c r="G181" s="93">
        <v>44669.502083333333</v>
      </c>
      <c r="H181" s="93">
        <v>44669.50277777778</v>
      </c>
      <c r="I181" s="93">
        <v>44669.395833333336</v>
      </c>
    </row>
    <row r="182" spans="1:9" x14ac:dyDescent="0.25">
      <c r="A182" s="70">
        <v>148</v>
      </c>
      <c r="B182" s="94" t="s">
        <v>244</v>
      </c>
      <c r="C182" s="90">
        <v>53110455</v>
      </c>
      <c r="D182" s="90">
        <v>53110444</v>
      </c>
      <c r="E182" s="90" t="s">
        <v>245</v>
      </c>
      <c r="F182" s="92">
        <v>5.0925925925925921E-3</v>
      </c>
      <c r="G182" s="93">
        <v>44669.496527777781</v>
      </c>
      <c r="H182" s="93">
        <v>44669.501388888886</v>
      </c>
      <c r="I182" s="93">
        <v>44669.395833333336</v>
      </c>
    </row>
    <row r="183" spans="1:9" x14ac:dyDescent="0.25">
      <c r="A183" s="69">
        <v>149</v>
      </c>
      <c r="B183" s="94" t="s">
        <v>246</v>
      </c>
      <c r="C183" s="90">
        <v>53110461</v>
      </c>
      <c r="D183" s="90">
        <v>53110444</v>
      </c>
      <c r="E183" s="90" t="s">
        <v>108</v>
      </c>
      <c r="F183" s="92">
        <v>3.4722222222222224E-4</v>
      </c>
      <c r="G183" s="93">
        <v>44669.496527777781</v>
      </c>
      <c r="H183" s="93">
        <v>44669.496527777781</v>
      </c>
      <c r="I183" s="93">
        <v>44669.395833333336</v>
      </c>
    </row>
    <row r="184" spans="1:9" x14ac:dyDescent="0.25">
      <c r="A184" s="70">
        <v>150</v>
      </c>
      <c r="B184" s="94" t="s">
        <v>247</v>
      </c>
      <c r="C184" s="90">
        <v>53110460</v>
      </c>
      <c r="D184" s="90">
        <v>53110444</v>
      </c>
      <c r="E184" s="90" t="s">
        <v>108</v>
      </c>
      <c r="F184" s="92">
        <v>3.4722222222222224E-4</v>
      </c>
      <c r="G184" s="93">
        <v>44669.495833333334</v>
      </c>
      <c r="H184" s="93">
        <v>44669.496527777781</v>
      </c>
      <c r="I184" s="93">
        <v>44669.395833333336</v>
      </c>
    </row>
    <row r="185" spans="1:9" x14ac:dyDescent="0.25">
      <c r="A185" s="69">
        <v>151</v>
      </c>
      <c r="B185" s="94" t="s">
        <v>254</v>
      </c>
      <c r="C185" s="90">
        <v>53113577</v>
      </c>
      <c r="D185" s="90">
        <v>53110444</v>
      </c>
      <c r="E185" s="90" t="s">
        <v>108</v>
      </c>
      <c r="F185" s="92">
        <v>3.5879629629629635E-4</v>
      </c>
      <c r="G185" s="93">
        <v>44669.495833333334</v>
      </c>
      <c r="H185" s="93">
        <v>44669.496527777781</v>
      </c>
      <c r="I185" s="93">
        <v>44669.395833333336</v>
      </c>
    </row>
    <row r="186" spans="1:9" x14ac:dyDescent="0.25">
      <c r="A186" s="70">
        <v>152</v>
      </c>
      <c r="B186" s="94" t="s">
        <v>248</v>
      </c>
      <c r="C186" s="90">
        <v>53110459</v>
      </c>
      <c r="D186" s="90">
        <v>53110444</v>
      </c>
      <c r="E186" s="90" t="s">
        <v>108</v>
      </c>
      <c r="F186" s="92">
        <v>3.4722222222222224E-4</v>
      </c>
      <c r="G186" s="93">
        <v>44669.495833333334</v>
      </c>
      <c r="H186" s="93">
        <v>44669.495833333334</v>
      </c>
      <c r="I186" s="93">
        <v>44669.395833333336</v>
      </c>
    </row>
    <row r="187" spans="1:9" x14ac:dyDescent="0.25">
      <c r="A187" s="69">
        <v>153</v>
      </c>
      <c r="B187" s="94" t="s">
        <v>249</v>
      </c>
      <c r="C187" s="90">
        <v>53110458</v>
      </c>
      <c r="D187" s="90">
        <v>53110444</v>
      </c>
      <c r="E187" s="90" t="s">
        <v>108</v>
      </c>
      <c r="F187" s="92">
        <v>2.3148148148148147E-5</v>
      </c>
      <c r="G187" s="93">
        <v>44669.495833333334</v>
      </c>
      <c r="H187" s="93">
        <v>44669.495833333334</v>
      </c>
      <c r="I187" s="93">
        <v>44669.395833333336</v>
      </c>
    </row>
    <row r="188" spans="1:9" x14ac:dyDescent="0.25">
      <c r="A188" s="70">
        <v>154</v>
      </c>
      <c r="B188" s="94" t="s">
        <v>255</v>
      </c>
      <c r="C188" s="90">
        <v>53110452</v>
      </c>
      <c r="D188" s="90">
        <v>53110444</v>
      </c>
      <c r="E188" s="90" t="s">
        <v>108</v>
      </c>
      <c r="F188" s="92">
        <v>3.4722222222222224E-4</v>
      </c>
      <c r="G188" s="93">
        <v>44669.495833333334</v>
      </c>
      <c r="H188" s="93">
        <v>44669.495833333334</v>
      </c>
      <c r="I188" s="93">
        <v>44669.395833333336</v>
      </c>
    </row>
    <row r="189" spans="1:9" x14ac:dyDescent="0.25">
      <c r="A189" s="69">
        <v>155</v>
      </c>
      <c r="B189" s="94" t="s">
        <v>259</v>
      </c>
      <c r="C189" s="90">
        <v>53110451</v>
      </c>
      <c r="D189" s="90">
        <v>53110444</v>
      </c>
      <c r="E189" s="90" t="s">
        <v>108</v>
      </c>
      <c r="F189" s="92">
        <v>0</v>
      </c>
      <c r="G189" s="93">
        <v>44669.495833333334</v>
      </c>
      <c r="H189" s="93">
        <v>44669.495833333334</v>
      </c>
      <c r="I189" s="93">
        <v>44669.395833333336</v>
      </c>
    </row>
    <row r="190" spans="1:9" x14ac:dyDescent="0.25">
      <c r="A190" s="70">
        <v>156</v>
      </c>
      <c r="B190" s="94" t="s">
        <v>256</v>
      </c>
      <c r="C190" s="90">
        <v>53110450</v>
      </c>
      <c r="D190" s="90">
        <v>53110444</v>
      </c>
      <c r="E190" s="90" t="s">
        <v>108</v>
      </c>
      <c r="F190" s="92">
        <v>0</v>
      </c>
      <c r="G190" s="93">
        <v>44669.495833333334</v>
      </c>
      <c r="H190" s="93">
        <v>44669.495833333334</v>
      </c>
      <c r="I190" s="93">
        <v>44669.395833333336</v>
      </c>
    </row>
    <row r="191" spans="1:9" x14ac:dyDescent="0.25">
      <c r="A191" s="69">
        <v>157</v>
      </c>
      <c r="B191" s="94" t="s">
        <v>258</v>
      </c>
      <c r="C191" s="90">
        <v>53110449</v>
      </c>
      <c r="D191" s="90">
        <v>53110444</v>
      </c>
      <c r="E191" s="90" t="s">
        <v>108</v>
      </c>
      <c r="F191" s="92">
        <v>2.3148148148148147E-5</v>
      </c>
      <c r="G191" s="93">
        <v>44669.495833333334</v>
      </c>
      <c r="H191" s="93">
        <v>44669.495833333334</v>
      </c>
      <c r="I191" s="93">
        <v>44669.395833333336</v>
      </c>
    </row>
    <row r="192" spans="1:9" x14ac:dyDescent="0.25">
      <c r="A192" s="70">
        <v>158</v>
      </c>
      <c r="B192" s="94" t="s">
        <v>257</v>
      </c>
      <c r="C192" s="90">
        <v>53110448</v>
      </c>
      <c r="D192" s="90">
        <v>53110444</v>
      </c>
      <c r="E192" s="90" t="s">
        <v>108</v>
      </c>
      <c r="F192" s="92">
        <v>2.3148148148148147E-5</v>
      </c>
      <c r="G192" s="93">
        <v>44669.495833333334</v>
      </c>
      <c r="H192" s="93">
        <v>44669.495833333334</v>
      </c>
      <c r="I192" s="93">
        <v>44669.395833333336</v>
      </c>
    </row>
    <row r="193" spans="1:9" x14ac:dyDescent="0.25">
      <c r="A193" s="69">
        <v>159</v>
      </c>
      <c r="B193" s="94" t="s">
        <v>250</v>
      </c>
      <c r="C193" s="90">
        <v>53110454</v>
      </c>
      <c r="D193" s="90">
        <v>53110444</v>
      </c>
      <c r="E193" s="90" t="s">
        <v>108</v>
      </c>
      <c r="F193" s="92">
        <v>1.0532407407407407E-3</v>
      </c>
      <c r="G193" s="93">
        <v>44669.495833333334</v>
      </c>
      <c r="H193" s="93">
        <v>44669.496527777781</v>
      </c>
      <c r="I193" s="93">
        <v>44669.395833333336</v>
      </c>
    </row>
    <row r="194" spans="1:9" x14ac:dyDescent="0.25">
      <c r="A194" s="70">
        <v>160</v>
      </c>
      <c r="B194" s="94" t="s">
        <v>251</v>
      </c>
      <c r="C194" s="90">
        <v>53110453</v>
      </c>
      <c r="D194" s="90">
        <v>53110444</v>
      </c>
      <c r="E194" s="90" t="s">
        <v>108</v>
      </c>
      <c r="F194" s="92">
        <v>1.1574074074074073E-5</v>
      </c>
      <c r="G194" s="93">
        <v>44669.495833333334</v>
      </c>
      <c r="H194" s="93">
        <v>44669.495833333334</v>
      </c>
      <c r="I194" s="93">
        <v>44669.395833333336</v>
      </c>
    </row>
    <row r="195" spans="1:9" x14ac:dyDescent="0.25">
      <c r="A195" s="69">
        <v>161</v>
      </c>
      <c r="B195" s="94" t="s">
        <v>260</v>
      </c>
      <c r="C195" s="90">
        <v>53110447</v>
      </c>
      <c r="D195" s="90">
        <v>53110444</v>
      </c>
      <c r="E195" s="90" t="s">
        <v>108</v>
      </c>
      <c r="F195" s="92">
        <v>1.1574074074074073E-5</v>
      </c>
      <c r="G195" s="93">
        <v>44669.495833333334</v>
      </c>
      <c r="H195" s="93">
        <v>44669.495833333334</v>
      </c>
      <c r="I195" s="93">
        <v>44669.395833333336</v>
      </c>
    </row>
    <row r="196" spans="1:9" x14ac:dyDescent="0.25">
      <c r="A196" s="70">
        <v>162</v>
      </c>
      <c r="B196" s="89" t="s">
        <v>261</v>
      </c>
      <c r="C196" s="90">
        <v>53110443</v>
      </c>
      <c r="D196" s="90">
        <v>53111323</v>
      </c>
      <c r="E196" s="90" t="s">
        <v>108</v>
      </c>
      <c r="F196" s="92">
        <v>4.3981481481481481E-4</v>
      </c>
      <c r="G196" s="93">
        <v>44669.495138888888</v>
      </c>
      <c r="H196" s="93">
        <v>44669.495833333334</v>
      </c>
      <c r="I196" s="93">
        <v>44669.395833333336</v>
      </c>
    </row>
    <row r="197" spans="1:9" x14ac:dyDescent="0.25">
      <c r="A197" s="69">
        <v>163</v>
      </c>
      <c r="B197" s="89" t="s">
        <v>78</v>
      </c>
      <c r="C197" s="90">
        <v>53110428</v>
      </c>
      <c r="D197" s="90">
        <v>53111323</v>
      </c>
      <c r="E197" s="90" t="s">
        <v>108</v>
      </c>
      <c r="F197" s="92">
        <v>8.6041666666666669E-2</v>
      </c>
      <c r="G197" s="93">
        <v>44669.449305555558</v>
      </c>
      <c r="H197" s="93">
        <v>44669.534722222219</v>
      </c>
      <c r="I197" s="93">
        <v>44669.395833333336</v>
      </c>
    </row>
    <row r="198" spans="1:9" x14ac:dyDescent="0.25">
      <c r="A198" s="70">
        <v>164</v>
      </c>
      <c r="B198" s="94" t="s">
        <v>239</v>
      </c>
      <c r="C198" s="90">
        <v>53110430</v>
      </c>
      <c r="D198" s="90">
        <v>53110428</v>
      </c>
      <c r="E198" s="90" t="s">
        <v>111</v>
      </c>
      <c r="F198" s="92">
        <v>0</v>
      </c>
      <c r="G198" s="91"/>
      <c r="H198" s="93">
        <v>44669.395833333336</v>
      </c>
      <c r="I198" s="93">
        <v>44669.395833333336</v>
      </c>
    </row>
    <row r="199" spans="1:9" x14ac:dyDescent="0.25">
      <c r="A199" s="69">
        <v>165</v>
      </c>
      <c r="B199" s="94" t="s">
        <v>238</v>
      </c>
      <c r="C199" s="90">
        <v>53110432</v>
      </c>
      <c r="D199" s="90">
        <v>53110428</v>
      </c>
      <c r="E199" s="90" t="s">
        <v>111</v>
      </c>
      <c r="F199" s="92">
        <v>0</v>
      </c>
      <c r="G199" s="91"/>
      <c r="H199" s="93">
        <v>44669.395833333336</v>
      </c>
      <c r="I199" s="93">
        <v>44669.395833333336</v>
      </c>
    </row>
    <row r="200" spans="1:9" x14ac:dyDescent="0.25">
      <c r="A200" s="70">
        <v>166</v>
      </c>
      <c r="B200" s="94" t="s">
        <v>240</v>
      </c>
      <c r="C200" s="90">
        <v>53110429</v>
      </c>
      <c r="D200" s="90">
        <v>53110428</v>
      </c>
      <c r="E200" s="90" t="s">
        <v>108</v>
      </c>
      <c r="F200" s="92">
        <v>3.7962962962962963E-3</v>
      </c>
      <c r="G200" s="93">
        <v>44669.53125</v>
      </c>
      <c r="H200" s="93">
        <v>44669.534722222219</v>
      </c>
      <c r="I200" s="93">
        <v>44669.395833333336</v>
      </c>
    </row>
    <row r="201" spans="1:9" x14ac:dyDescent="0.25">
      <c r="A201" s="69">
        <v>167</v>
      </c>
      <c r="B201" s="94" t="s">
        <v>241</v>
      </c>
      <c r="C201" s="90">
        <v>53110431</v>
      </c>
      <c r="D201" s="90">
        <v>53110428</v>
      </c>
      <c r="E201" s="90" t="s">
        <v>108</v>
      </c>
      <c r="F201" s="92">
        <v>3.0092592592592595E-4</v>
      </c>
      <c r="G201" s="93">
        <v>44669.52847222222</v>
      </c>
      <c r="H201" s="93">
        <v>44669.52847222222</v>
      </c>
      <c r="I201" s="93">
        <v>44669.395833333336</v>
      </c>
    </row>
    <row r="202" spans="1:9" x14ac:dyDescent="0.25">
      <c r="A202" s="70">
        <v>168</v>
      </c>
      <c r="B202" s="89" t="s">
        <v>262</v>
      </c>
      <c r="C202" s="90">
        <v>53110433</v>
      </c>
      <c r="D202" s="90">
        <v>53111323</v>
      </c>
      <c r="E202" s="90" t="s">
        <v>108</v>
      </c>
      <c r="F202" s="92">
        <v>2.3148148148148147E-5</v>
      </c>
      <c r="G202" s="93">
        <v>44669.445138888892</v>
      </c>
      <c r="H202" s="93">
        <v>44669.445138888892</v>
      </c>
      <c r="I202" s="93">
        <v>44669.395833333336</v>
      </c>
    </row>
    <row r="203" spans="1:9" x14ac:dyDescent="0.25">
      <c r="A203" s="69">
        <v>169</v>
      </c>
      <c r="B203" s="89" t="s">
        <v>263</v>
      </c>
      <c r="C203" s="90">
        <v>53110462</v>
      </c>
      <c r="D203" s="90">
        <v>53111323</v>
      </c>
      <c r="E203" s="90" t="s">
        <v>111</v>
      </c>
      <c r="F203" s="92">
        <v>0</v>
      </c>
      <c r="G203" s="91"/>
      <c r="H203" s="93">
        <v>44669.395833333336</v>
      </c>
      <c r="I203" s="93">
        <v>44669.395833333336</v>
      </c>
    </row>
    <row r="204" spans="1:9" x14ac:dyDescent="0.25">
      <c r="A204" s="70">
        <v>170</v>
      </c>
      <c r="B204" s="89" t="s">
        <v>80</v>
      </c>
      <c r="C204" s="90">
        <v>53110463</v>
      </c>
      <c r="D204" s="90">
        <v>53111323</v>
      </c>
      <c r="E204" s="90" t="s">
        <v>108</v>
      </c>
      <c r="F204" s="92">
        <v>1.9664351851851853E-2</v>
      </c>
      <c r="G204" s="93">
        <v>44669.50277777778</v>
      </c>
      <c r="H204" s="93">
        <v>44669.522222222222</v>
      </c>
      <c r="I204" s="93">
        <v>44669.395833333336</v>
      </c>
    </row>
    <row r="205" spans="1:9" x14ac:dyDescent="0.25">
      <c r="A205" s="69">
        <v>171</v>
      </c>
      <c r="B205" s="94" t="s">
        <v>264</v>
      </c>
      <c r="C205" s="90">
        <v>53112355</v>
      </c>
      <c r="D205" s="90">
        <v>53110463</v>
      </c>
      <c r="E205" s="90" t="s">
        <v>108</v>
      </c>
      <c r="F205" s="92">
        <v>3.1365740740740742E-3</v>
      </c>
      <c r="G205" s="93">
        <v>44669.505555555559</v>
      </c>
      <c r="H205" s="93">
        <v>44669.508333333331</v>
      </c>
      <c r="I205" s="93">
        <v>44669.395833333336</v>
      </c>
    </row>
    <row r="206" spans="1:9" x14ac:dyDescent="0.25">
      <c r="A206" s="70">
        <v>172</v>
      </c>
      <c r="B206" s="94" t="s">
        <v>311</v>
      </c>
      <c r="C206" s="90">
        <v>53112300</v>
      </c>
      <c r="D206" s="90">
        <v>53110463</v>
      </c>
      <c r="E206" s="90" t="s">
        <v>170</v>
      </c>
      <c r="F206" s="92">
        <v>0</v>
      </c>
      <c r="G206" s="91"/>
      <c r="H206" s="93">
        <v>44669.50277777778</v>
      </c>
      <c r="I206" s="93">
        <v>44669.395833333336</v>
      </c>
    </row>
    <row r="207" spans="1:9" x14ac:dyDescent="0.25">
      <c r="A207" s="69">
        <v>173</v>
      </c>
      <c r="B207" s="94" t="s">
        <v>265</v>
      </c>
      <c r="C207" s="90">
        <v>53112302</v>
      </c>
      <c r="D207" s="90">
        <v>53110463</v>
      </c>
      <c r="E207" s="90" t="s">
        <v>108</v>
      </c>
      <c r="F207" s="92">
        <v>1.0532407407407407E-3</v>
      </c>
      <c r="G207" s="93">
        <v>44669.504166666666</v>
      </c>
      <c r="H207" s="93">
        <v>44669.505555555559</v>
      </c>
      <c r="I207" s="93">
        <v>44669.395833333336</v>
      </c>
    </row>
    <row r="208" spans="1:9" x14ac:dyDescent="0.25">
      <c r="A208" s="70">
        <v>174</v>
      </c>
      <c r="B208" s="94" t="s">
        <v>312</v>
      </c>
      <c r="C208" s="90">
        <v>53112301</v>
      </c>
      <c r="D208" s="90">
        <v>53110463</v>
      </c>
      <c r="E208" s="90" t="s">
        <v>108</v>
      </c>
      <c r="F208" s="92">
        <v>3.4722222222222224E-4</v>
      </c>
      <c r="G208" s="93">
        <v>44669.504166666666</v>
      </c>
      <c r="H208" s="93">
        <v>44669.504166666666</v>
      </c>
      <c r="I208" s="93">
        <v>44669.395833333336</v>
      </c>
    </row>
    <row r="209" spans="1:9" x14ac:dyDescent="0.25">
      <c r="A209" s="69">
        <v>175</v>
      </c>
      <c r="B209" s="94" t="s">
        <v>266</v>
      </c>
      <c r="C209" s="90">
        <v>53112303</v>
      </c>
      <c r="D209" s="90">
        <v>53110463</v>
      </c>
      <c r="E209" s="90" t="s">
        <v>108</v>
      </c>
      <c r="F209" s="92">
        <v>1.9664351851851853E-2</v>
      </c>
      <c r="G209" s="93">
        <v>44669.50277777778</v>
      </c>
      <c r="H209" s="93">
        <v>44669.522222222222</v>
      </c>
      <c r="I209" s="93">
        <v>44669.395833333336</v>
      </c>
    </row>
    <row r="210" spans="1:9" x14ac:dyDescent="0.25">
      <c r="A210" s="70">
        <v>176</v>
      </c>
      <c r="B210" s="95" t="s">
        <v>267</v>
      </c>
      <c r="C210" s="90">
        <v>53112354</v>
      </c>
      <c r="D210" s="90">
        <v>53112303</v>
      </c>
      <c r="E210" s="90" t="s">
        <v>108</v>
      </c>
      <c r="F210" s="92">
        <v>0</v>
      </c>
      <c r="G210" s="93">
        <v>44669.522222222222</v>
      </c>
      <c r="H210" s="93">
        <v>44669.522222222222</v>
      </c>
      <c r="I210" s="93">
        <v>44669.395833333336</v>
      </c>
    </row>
    <row r="211" spans="1:9" x14ac:dyDescent="0.25">
      <c r="A211" s="69">
        <v>177</v>
      </c>
      <c r="B211" s="95" t="s">
        <v>276</v>
      </c>
      <c r="C211" s="90">
        <v>53112353</v>
      </c>
      <c r="D211" s="90">
        <v>53112303</v>
      </c>
      <c r="E211" s="90" t="s">
        <v>108</v>
      </c>
      <c r="F211" s="92">
        <v>5.3240740740740744E-4</v>
      </c>
      <c r="G211" s="93">
        <v>44669.522222222222</v>
      </c>
      <c r="H211" s="93">
        <v>44669.522222222222</v>
      </c>
      <c r="I211" s="93">
        <v>44669.395833333336</v>
      </c>
    </row>
    <row r="212" spans="1:9" x14ac:dyDescent="0.25">
      <c r="A212" s="70">
        <v>178</v>
      </c>
      <c r="B212" s="95" t="s">
        <v>277</v>
      </c>
      <c r="C212" s="90">
        <v>53112352</v>
      </c>
      <c r="D212" s="90">
        <v>53112303</v>
      </c>
      <c r="E212" s="90" t="s">
        <v>108</v>
      </c>
      <c r="F212" s="92">
        <v>2.3148148148148147E-5</v>
      </c>
      <c r="G212" s="93">
        <v>44669.522222222222</v>
      </c>
      <c r="H212" s="93">
        <v>44669.522222222222</v>
      </c>
      <c r="I212" s="93">
        <v>44669.395833333336</v>
      </c>
    </row>
    <row r="213" spans="1:9" x14ac:dyDescent="0.25">
      <c r="A213" s="69">
        <v>179</v>
      </c>
      <c r="B213" s="95" t="s">
        <v>278</v>
      </c>
      <c r="C213" s="90">
        <v>53112351</v>
      </c>
      <c r="D213" s="90">
        <v>53112303</v>
      </c>
      <c r="E213" s="90" t="s">
        <v>108</v>
      </c>
      <c r="F213" s="92">
        <v>3.7731481481481483E-3</v>
      </c>
      <c r="G213" s="93">
        <v>44669.518055555556</v>
      </c>
      <c r="H213" s="93">
        <v>44669.522222222222</v>
      </c>
      <c r="I213" s="93">
        <v>44669.395833333336</v>
      </c>
    </row>
    <row r="214" spans="1:9" x14ac:dyDescent="0.25">
      <c r="A214" s="70">
        <v>180</v>
      </c>
      <c r="B214" s="95" t="s">
        <v>279</v>
      </c>
      <c r="C214" s="90">
        <v>53112350</v>
      </c>
      <c r="D214" s="90">
        <v>53112303</v>
      </c>
      <c r="E214" s="90" t="s">
        <v>108</v>
      </c>
      <c r="F214" s="92">
        <v>3.4722222222222224E-4</v>
      </c>
      <c r="G214" s="93">
        <v>44669.518055555556</v>
      </c>
      <c r="H214" s="93">
        <v>44669.518055555556</v>
      </c>
      <c r="I214" s="93">
        <v>44669.395833333336</v>
      </c>
    </row>
    <row r="215" spans="1:9" x14ac:dyDescent="0.25">
      <c r="A215" s="69">
        <v>181</v>
      </c>
      <c r="B215" s="95" t="s">
        <v>269</v>
      </c>
      <c r="C215" s="90">
        <v>53112338</v>
      </c>
      <c r="D215" s="90">
        <v>53112303</v>
      </c>
      <c r="E215" s="90" t="s">
        <v>170</v>
      </c>
      <c r="F215" s="92">
        <v>0</v>
      </c>
      <c r="G215" s="91"/>
      <c r="H215" s="93">
        <v>44669.506249999999</v>
      </c>
      <c r="I215" s="93">
        <v>44669.395833333336</v>
      </c>
    </row>
    <row r="216" spans="1:9" x14ac:dyDescent="0.25">
      <c r="A216" s="70">
        <v>182</v>
      </c>
      <c r="B216" s="95" t="s">
        <v>281</v>
      </c>
      <c r="C216" s="90">
        <v>53112336</v>
      </c>
      <c r="D216" s="90">
        <v>53112303</v>
      </c>
      <c r="E216" s="90" t="s">
        <v>170</v>
      </c>
      <c r="F216" s="92">
        <v>0</v>
      </c>
      <c r="G216" s="91"/>
      <c r="H216" s="93">
        <v>44669.506249999999</v>
      </c>
      <c r="I216" s="93">
        <v>44669.395833333336</v>
      </c>
    </row>
    <row r="217" spans="1:9" x14ac:dyDescent="0.25">
      <c r="A217" s="69">
        <v>183</v>
      </c>
      <c r="B217" s="95" t="s">
        <v>271</v>
      </c>
      <c r="C217" s="90">
        <v>53112337</v>
      </c>
      <c r="D217" s="90">
        <v>53112303</v>
      </c>
      <c r="E217" s="90" t="s">
        <v>170</v>
      </c>
      <c r="F217" s="92">
        <v>0</v>
      </c>
      <c r="G217" s="91"/>
      <c r="H217" s="93">
        <v>44669.506249999999</v>
      </c>
      <c r="I217" s="93">
        <v>44669.395833333336</v>
      </c>
    </row>
    <row r="218" spans="1:9" x14ac:dyDescent="0.25">
      <c r="A218" s="70">
        <v>184</v>
      </c>
      <c r="B218" s="95" t="s">
        <v>284</v>
      </c>
      <c r="C218" s="90">
        <v>53112333</v>
      </c>
      <c r="D218" s="90">
        <v>53112303</v>
      </c>
      <c r="E218" s="90" t="s">
        <v>111</v>
      </c>
      <c r="F218" s="92">
        <v>0</v>
      </c>
      <c r="G218" s="91"/>
      <c r="H218" s="93">
        <v>44669.395833333336</v>
      </c>
      <c r="I218" s="93">
        <v>44669.395833333336</v>
      </c>
    </row>
    <row r="219" spans="1:9" x14ac:dyDescent="0.25">
      <c r="A219" s="69">
        <v>185</v>
      </c>
      <c r="B219" s="95" t="s">
        <v>282</v>
      </c>
      <c r="C219" s="90">
        <v>53112330</v>
      </c>
      <c r="D219" s="90">
        <v>53112303</v>
      </c>
      <c r="E219" s="90" t="s">
        <v>111</v>
      </c>
      <c r="F219" s="92">
        <v>0</v>
      </c>
      <c r="G219" s="91"/>
      <c r="H219" s="93">
        <v>44669.395833333336</v>
      </c>
      <c r="I219" s="93">
        <v>44669.395833333336</v>
      </c>
    </row>
    <row r="220" spans="1:9" x14ac:dyDescent="0.25">
      <c r="A220" s="70">
        <v>186</v>
      </c>
      <c r="B220" s="95" t="s">
        <v>272</v>
      </c>
      <c r="C220" s="90">
        <v>53112343</v>
      </c>
      <c r="D220" s="90">
        <v>53112303</v>
      </c>
      <c r="E220" s="90" t="s">
        <v>170</v>
      </c>
      <c r="F220" s="92">
        <v>0</v>
      </c>
      <c r="G220" s="91"/>
      <c r="H220" s="93">
        <v>44669.518055555556</v>
      </c>
      <c r="I220" s="93">
        <v>44669.395833333336</v>
      </c>
    </row>
    <row r="221" spans="1:9" x14ac:dyDescent="0.25">
      <c r="A221" s="69">
        <v>187</v>
      </c>
      <c r="B221" s="95" t="s">
        <v>268</v>
      </c>
      <c r="C221" s="90">
        <v>53112344</v>
      </c>
      <c r="D221" s="90">
        <v>53112303</v>
      </c>
      <c r="E221" s="90" t="s">
        <v>170</v>
      </c>
      <c r="F221" s="92">
        <v>0</v>
      </c>
      <c r="G221" s="91"/>
      <c r="H221" s="93">
        <v>44669.509027777778</v>
      </c>
      <c r="I221" s="93">
        <v>44669.395833333336</v>
      </c>
    </row>
    <row r="222" spans="1:9" x14ac:dyDescent="0.25">
      <c r="A222" s="70">
        <v>188</v>
      </c>
      <c r="B222" s="95" t="s">
        <v>275</v>
      </c>
      <c r="C222" s="90">
        <v>53112347</v>
      </c>
      <c r="D222" s="90">
        <v>53112303</v>
      </c>
      <c r="E222" s="90" t="s">
        <v>170</v>
      </c>
      <c r="F222" s="92">
        <v>0</v>
      </c>
      <c r="G222" s="91"/>
      <c r="H222" s="93">
        <v>44669.509027777778</v>
      </c>
      <c r="I222" s="93">
        <v>44669.395833333336</v>
      </c>
    </row>
    <row r="223" spans="1:9" x14ac:dyDescent="0.25">
      <c r="A223" s="69">
        <v>189</v>
      </c>
      <c r="B223" s="95" t="s">
        <v>273</v>
      </c>
      <c r="C223" s="90">
        <v>53112348</v>
      </c>
      <c r="D223" s="90">
        <v>53112303</v>
      </c>
      <c r="E223" s="90" t="s">
        <v>111</v>
      </c>
      <c r="F223" s="92">
        <v>0</v>
      </c>
      <c r="G223" s="91"/>
      <c r="H223" s="93">
        <v>44669.395833333336</v>
      </c>
      <c r="I223" s="93">
        <v>44669.395833333336</v>
      </c>
    </row>
    <row r="224" spans="1:9" x14ac:dyDescent="0.25">
      <c r="A224" s="70">
        <v>190</v>
      </c>
      <c r="B224" s="95" t="s">
        <v>274</v>
      </c>
      <c r="C224" s="90">
        <v>53112349</v>
      </c>
      <c r="D224" s="90">
        <v>53112303</v>
      </c>
      <c r="E224" s="90" t="s">
        <v>170</v>
      </c>
      <c r="F224" s="92">
        <v>0</v>
      </c>
      <c r="G224" s="91"/>
      <c r="H224" s="93">
        <v>44669.509027777778</v>
      </c>
      <c r="I224" s="93">
        <v>44669.395833333336</v>
      </c>
    </row>
    <row r="225" spans="1:9" x14ac:dyDescent="0.25">
      <c r="A225" s="69">
        <v>191</v>
      </c>
      <c r="B225" s="95" t="s">
        <v>270</v>
      </c>
      <c r="C225" s="90">
        <v>53112339</v>
      </c>
      <c r="D225" s="90">
        <v>53112303</v>
      </c>
      <c r="E225" s="90" t="s">
        <v>108</v>
      </c>
      <c r="F225" s="92">
        <v>2.1064814814814813E-3</v>
      </c>
      <c r="G225" s="93">
        <v>44669.506944444445</v>
      </c>
      <c r="H225" s="93">
        <v>44669.509027777778</v>
      </c>
      <c r="I225" s="93">
        <v>44669.395833333336</v>
      </c>
    </row>
    <row r="226" spans="1:9" x14ac:dyDescent="0.25">
      <c r="A226" s="70">
        <v>192</v>
      </c>
      <c r="B226" s="95" t="s">
        <v>287</v>
      </c>
      <c r="C226" s="90">
        <v>53112335</v>
      </c>
      <c r="D226" s="90">
        <v>53112303</v>
      </c>
      <c r="E226" s="90" t="s">
        <v>108</v>
      </c>
      <c r="F226" s="92">
        <v>3.4722222222222224E-4</v>
      </c>
      <c r="G226" s="93">
        <v>44669.506249999999</v>
      </c>
      <c r="H226" s="93">
        <v>44669.506249999999</v>
      </c>
      <c r="I226" s="93">
        <v>44669.395833333336</v>
      </c>
    </row>
    <row r="227" spans="1:9" x14ac:dyDescent="0.25">
      <c r="A227" s="69">
        <v>193</v>
      </c>
      <c r="B227" s="95" t="s">
        <v>81</v>
      </c>
      <c r="C227" s="90">
        <v>53112329</v>
      </c>
      <c r="D227" s="90">
        <v>53112303</v>
      </c>
      <c r="E227" s="90" t="s">
        <v>108</v>
      </c>
      <c r="F227" s="92">
        <v>4.5138888888888892E-4</v>
      </c>
      <c r="G227" s="93">
        <v>44669.505555555559</v>
      </c>
      <c r="H227" s="93">
        <v>44669.505555555559</v>
      </c>
      <c r="I227" s="93">
        <v>44669.395833333336</v>
      </c>
    </row>
    <row r="228" spans="1:9" x14ac:dyDescent="0.25">
      <c r="A228" s="70">
        <v>194</v>
      </c>
      <c r="B228" s="95" t="s">
        <v>293</v>
      </c>
      <c r="C228" s="90">
        <v>53112334</v>
      </c>
      <c r="D228" s="90">
        <v>53112303</v>
      </c>
      <c r="E228" s="90" t="s">
        <v>108</v>
      </c>
      <c r="F228" s="92">
        <v>1.4004629629629629E-3</v>
      </c>
      <c r="G228" s="93">
        <v>44669.504861111112</v>
      </c>
      <c r="H228" s="93">
        <v>44669.506249999999</v>
      </c>
      <c r="I228" s="93">
        <v>44669.395833333336</v>
      </c>
    </row>
    <row r="229" spans="1:9" x14ac:dyDescent="0.25">
      <c r="A229" s="69">
        <v>195</v>
      </c>
      <c r="B229" s="95" t="s">
        <v>82</v>
      </c>
      <c r="C229" s="90">
        <v>53112332</v>
      </c>
      <c r="D229" s="90">
        <v>53112303</v>
      </c>
      <c r="E229" s="90" t="s">
        <v>108</v>
      </c>
      <c r="F229" s="92">
        <v>1.3194444444444444E-2</v>
      </c>
      <c r="G229" s="93">
        <v>44669.504861111112</v>
      </c>
      <c r="H229" s="93">
        <v>44669.518055555556</v>
      </c>
      <c r="I229" s="93">
        <v>44669.395833333336</v>
      </c>
    </row>
    <row r="230" spans="1:9" x14ac:dyDescent="0.25">
      <c r="A230" s="70">
        <v>196</v>
      </c>
      <c r="B230" s="95" t="s">
        <v>295</v>
      </c>
      <c r="C230" s="90">
        <v>53112328</v>
      </c>
      <c r="D230" s="90">
        <v>53112303</v>
      </c>
      <c r="E230" s="90" t="s">
        <v>108</v>
      </c>
      <c r="F230" s="92">
        <v>6.9444444444444447E-4</v>
      </c>
      <c r="G230" s="93">
        <v>44669.504861111112</v>
      </c>
      <c r="H230" s="93">
        <v>44669.505555555559</v>
      </c>
      <c r="I230" s="93">
        <v>44669.395833333336</v>
      </c>
    </row>
    <row r="231" spans="1:9" x14ac:dyDescent="0.25">
      <c r="A231" s="69">
        <v>197</v>
      </c>
      <c r="B231" s="95" t="s">
        <v>294</v>
      </c>
      <c r="C231" s="90">
        <v>53112331</v>
      </c>
      <c r="D231" s="90">
        <v>53112303</v>
      </c>
      <c r="E231" s="90" t="s">
        <v>108</v>
      </c>
      <c r="F231" s="92">
        <v>3.4722222222222224E-4</v>
      </c>
      <c r="G231" s="93">
        <v>44669.504861111112</v>
      </c>
      <c r="H231" s="93">
        <v>44669.504861111112</v>
      </c>
      <c r="I231" s="93">
        <v>44669.395833333336</v>
      </c>
    </row>
    <row r="232" spans="1:9" x14ac:dyDescent="0.25">
      <c r="A232" s="70">
        <v>198</v>
      </c>
      <c r="B232" s="95" t="s">
        <v>299</v>
      </c>
      <c r="C232" s="90">
        <v>53112304</v>
      </c>
      <c r="D232" s="90">
        <v>53112303</v>
      </c>
      <c r="E232" s="90" t="s">
        <v>111</v>
      </c>
      <c r="F232" s="92">
        <v>0</v>
      </c>
      <c r="G232" s="91"/>
      <c r="H232" s="93">
        <v>44669.395833333336</v>
      </c>
      <c r="I232" s="93">
        <v>44669.395833333336</v>
      </c>
    </row>
    <row r="233" spans="1:9" x14ac:dyDescent="0.25">
      <c r="A233" s="69">
        <v>199</v>
      </c>
      <c r="B233" s="95" t="s">
        <v>296</v>
      </c>
      <c r="C233" s="90">
        <v>53112317</v>
      </c>
      <c r="D233" s="90">
        <v>53112303</v>
      </c>
      <c r="E233" s="90" t="s">
        <v>170</v>
      </c>
      <c r="F233" s="92">
        <v>0</v>
      </c>
      <c r="G233" s="91"/>
      <c r="H233" s="93">
        <v>44669.505555555559</v>
      </c>
      <c r="I233" s="93">
        <v>44669.395833333336</v>
      </c>
    </row>
    <row r="234" spans="1:9" x14ac:dyDescent="0.25">
      <c r="A234" s="70">
        <v>200</v>
      </c>
      <c r="B234" s="95" t="s">
        <v>298</v>
      </c>
      <c r="C234" s="90">
        <v>53112306</v>
      </c>
      <c r="D234" s="90">
        <v>53112303</v>
      </c>
      <c r="E234" s="90" t="s">
        <v>111</v>
      </c>
      <c r="F234" s="92">
        <v>0</v>
      </c>
      <c r="G234" s="91"/>
      <c r="H234" s="93">
        <v>44669.395833333336</v>
      </c>
      <c r="I234" s="93">
        <v>44669.395833333336</v>
      </c>
    </row>
    <row r="235" spans="1:9" x14ac:dyDescent="0.25">
      <c r="A235" s="69">
        <v>201</v>
      </c>
      <c r="B235" s="95" t="s">
        <v>280</v>
      </c>
      <c r="C235" s="90">
        <v>53112324</v>
      </c>
      <c r="D235" s="90">
        <v>53112303</v>
      </c>
      <c r="E235" s="90" t="s">
        <v>111</v>
      </c>
      <c r="F235" s="92">
        <v>0</v>
      </c>
      <c r="G235" s="91"/>
      <c r="H235" s="93">
        <v>44669.395833333336</v>
      </c>
      <c r="I235" s="93">
        <v>44669.395833333336</v>
      </c>
    </row>
    <row r="236" spans="1:9" x14ac:dyDescent="0.25">
      <c r="A236" s="70">
        <v>202</v>
      </c>
      <c r="B236" s="95" t="s">
        <v>285</v>
      </c>
      <c r="C236" s="90">
        <v>53112321</v>
      </c>
      <c r="D236" s="90">
        <v>53112303</v>
      </c>
      <c r="E236" s="90" t="s">
        <v>170</v>
      </c>
      <c r="F236" s="92">
        <v>0</v>
      </c>
      <c r="G236" s="91"/>
      <c r="H236" s="93">
        <v>44669.505555555559</v>
      </c>
      <c r="I236" s="93">
        <v>44669.395833333336</v>
      </c>
    </row>
    <row r="237" spans="1:9" x14ac:dyDescent="0.25">
      <c r="A237" s="69">
        <v>203</v>
      </c>
      <c r="B237" s="95" t="s">
        <v>297</v>
      </c>
      <c r="C237" s="90">
        <v>53112308</v>
      </c>
      <c r="D237" s="90">
        <v>53112303</v>
      </c>
      <c r="E237" s="90" t="s">
        <v>111</v>
      </c>
      <c r="F237" s="92">
        <v>0</v>
      </c>
      <c r="G237" s="91"/>
      <c r="H237" s="93">
        <v>44669.395833333336</v>
      </c>
      <c r="I237" s="93">
        <v>44669.395833333336</v>
      </c>
    </row>
    <row r="238" spans="1:9" x14ac:dyDescent="0.25">
      <c r="A238" s="70">
        <v>204</v>
      </c>
      <c r="B238" s="95" t="s">
        <v>283</v>
      </c>
      <c r="C238" s="90">
        <v>53112320</v>
      </c>
      <c r="D238" s="90">
        <v>53112303</v>
      </c>
      <c r="E238" s="90" t="s">
        <v>170</v>
      </c>
      <c r="F238" s="92">
        <v>0</v>
      </c>
      <c r="G238" s="91"/>
      <c r="H238" s="93">
        <v>44669.505555555559</v>
      </c>
      <c r="I238" s="93">
        <v>44669.395833333336</v>
      </c>
    </row>
    <row r="239" spans="1:9" x14ac:dyDescent="0.25">
      <c r="A239" s="69">
        <v>205</v>
      </c>
      <c r="B239" s="95" t="s">
        <v>300</v>
      </c>
      <c r="C239" s="90">
        <v>53112314</v>
      </c>
      <c r="D239" s="90">
        <v>53112303</v>
      </c>
      <c r="E239" s="90" t="s">
        <v>111</v>
      </c>
      <c r="F239" s="92">
        <v>0</v>
      </c>
      <c r="G239" s="91"/>
      <c r="H239" s="93">
        <v>44669.395833333336</v>
      </c>
      <c r="I239" s="93">
        <v>44669.395833333336</v>
      </c>
    </row>
    <row r="240" spans="1:9" x14ac:dyDescent="0.25">
      <c r="A240" s="70">
        <v>206</v>
      </c>
      <c r="B240" s="95" t="s">
        <v>286</v>
      </c>
      <c r="C240" s="90">
        <v>53112327</v>
      </c>
      <c r="D240" s="90">
        <v>53112303</v>
      </c>
      <c r="E240" s="90" t="s">
        <v>108</v>
      </c>
      <c r="F240" s="92">
        <v>3.4722222222222224E-4</v>
      </c>
      <c r="G240" s="93">
        <v>44669.506944444445</v>
      </c>
      <c r="H240" s="93">
        <v>44669.506944444445</v>
      </c>
      <c r="I240" s="93">
        <v>44669.395833333336</v>
      </c>
    </row>
    <row r="241" spans="1:9" x14ac:dyDescent="0.25">
      <c r="A241" s="69">
        <v>207</v>
      </c>
      <c r="B241" s="95" t="s">
        <v>288</v>
      </c>
      <c r="C241" s="90">
        <v>53112319</v>
      </c>
      <c r="D241" s="90">
        <v>53112303</v>
      </c>
      <c r="E241" s="90" t="s">
        <v>108</v>
      </c>
      <c r="F241" s="92">
        <v>3.4722222222222224E-4</v>
      </c>
      <c r="G241" s="93">
        <v>44669.506944444445</v>
      </c>
      <c r="H241" s="93">
        <v>44669.506944444445</v>
      </c>
      <c r="I241" s="93">
        <v>44669.395833333336</v>
      </c>
    </row>
    <row r="242" spans="1:9" x14ac:dyDescent="0.25">
      <c r="A242" s="70">
        <v>208</v>
      </c>
      <c r="B242" s="95" t="s">
        <v>289</v>
      </c>
      <c r="C242" s="90">
        <v>53112326</v>
      </c>
      <c r="D242" s="90">
        <v>53112303</v>
      </c>
      <c r="E242" s="90" t="s">
        <v>108</v>
      </c>
      <c r="F242" s="92">
        <v>3.5879629629629635E-4</v>
      </c>
      <c r="G242" s="93">
        <v>44669.506249999999</v>
      </c>
      <c r="H242" s="93">
        <v>44669.506944444445</v>
      </c>
      <c r="I242" s="93">
        <v>44669.395833333336</v>
      </c>
    </row>
    <row r="243" spans="1:9" x14ac:dyDescent="0.25">
      <c r="A243" s="69">
        <v>209</v>
      </c>
      <c r="B243" s="95" t="s">
        <v>301</v>
      </c>
      <c r="C243" s="90">
        <v>53112318</v>
      </c>
      <c r="D243" s="90">
        <v>53112303</v>
      </c>
      <c r="E243" s="90" t="s">
        <v>108</v>
      </c>
      <c r="F243" s="92">
        <v>3.4722222222222224E-4</v>
      </c>
      <c r="G243" s="93">
        <v>44669.506249999999</v>
      </c>
      <c r="H243" s="93">
        <v>44669.506944444445</v>
      </c>
      <c r="I243" s="93">
        <v>44669.395833333336</v>
      </c>
    </row>
    <row r="244" spans="1:9" x14ac:dyDescent="0.25">
      <c r="A244" s="70">
        <v>210</v>
      </c>
      <c r="B244" s="95" t="s">
        <v>302</v>
      </c>
      <c r="C244" s="90">
        <v>53112316</v>
      </c>
      <c r="D244" s="90">
        <v>53112303</v>
      </c>
      <c r="E244" s="90" t="s">
        <v>108</v>
      </c>
      <c r="F244" s="92">
        <v>3.4722222222222224E-4</v>
      </c>
      <c r="G244" s="93">
        <v>44669.506249999999</v>
      </c>
      <c r="H244" s="93">
        <v>44669.506249999999</v>
      </c>
      <c r="I244" s="93">
        <v>44669.395833333336</v>
      </c>
    </row>
    <row r="245" spans="1:9" x14ac:dyDescent="0.25">
      <c r="A245" s="69">
        <v>211</v>
      </c>
      <c r="B245" s="95" t="s">
        <v>292</v>
      </c>
      <c r="C245" s="90">
        <v>53112325</v>
      </c>
      <c r="D245" s="90">
        <v>53112303</v>
      </c>
      <c r="E245" s="90" t="s">
        <v>108</v>
      </c>
      <c r="F245" s="92">
        <v>3.4722222222222224E-4</v>
      </c>
      <c r="G245" s="93">
        <v>44669.506249999999</v>
      </c>
      <c r="H245" s="93">
        <v>44669.506249999999</v>
      </c>
      <c r="I245" s="93">
        <v>44669.395833333336</v>
      </c>
    </row>
    <row r="246" spans="1:9" x14ac:dyDescent="0.25">
      <c r="A246" s="70">
        <v>212</v>
      </c>
      <c r="B246" s="95" t="s">
        <v>290</v>
      </c>
      <c r="C246" s="90">
        <v>53112323</v>
      </c>
      <c r="D246" s="90">
        <v>53112303</v>
      </c>
      <c r="E246" s="90" t="s">
        <v>108</v>
      </c>
      <c r="F246" s="92">
        <v>3.5879629629629635E-4</v>
      </c>
      <c r="G246" s="93">
        <v>44669.505555555559</v>
      </c>
      <c r="H246" s="93">
        <v>44669.506249999999</v>
      </c>
      <c r="I246" s="93">
        <v>44669.395833333336</v>
      </c>
    </row>
    <row r="247" spans="1:9" x14ac:dyDescent="0.25">
      <c r="A247" s="69">
        <v>213</v>
      </c>
      <c r="B247" s="95" t="s">
        <v>291</v>
      </c>
      <c r="C247" s="90">
        <v>53112322</v>
      </c>
      <c r="D247" s="90">
        <v>53112303</v>
      </c>
      <c r="E247" s="90" t="s">
        <v>108</v>
      </c>
      <c r="F247" s="92">
        <v>3.4722222222222224E-4</v>
      </c>
      <c r="G247" s="93">
        <v>44669.505555555559</v>
      </c>
      <c r="H247" s="93">
        <v>44669.505555555559</v>
      </c>
      <c r="I247" s="93">
        <v>44669.395833333336</v>
      </c>
    </row>
    <row r="248" spans="1:9" x14ac:dyDescent="0.25">
      <c r="A248" s="70">
        <v>214</v>
      </c>
      <c r="B248" s="95" t="s">
        <v>303</v>
      </c>
      <c r="C248" s="90">
        <v>53112315</v>
      </c>
      <c r="D248" s="90">
        <v>53112303</v>
      </c>
      <c r="E248" s="90" t="s">
        <v>108</v>
      </c>
      <c r="F248" s="92">
        <v>3.5879629629629635E-4</v>
      </c>
      <c r="G248" s="93">
        <v>44669.504861111112</v>
      </c>
      <c r="H248" s="93">
        <v>44669.505555555559</v>
      </c>
      <c r="I248" s="93">
        <v>44669.395833333336</v>
      </c>
    </row>
    <row r="249" spans="1:9" x14ac:dyDescent="0.25">
      <c r="A249" s="69">
        <v>215</v>
      </c>
      <c r="B249" s="95" t="s">
        <v>304</v>
      </c>
      <c r="C249" s="90">
        <v>53112309</v>
      </c>
      <c r="D249" s="90">
        <v>53112303</v>
      </c>
      <c r="E249" s="90" t="s">
        <v>108</v>
      </c>
      <c r="F249" s="92">
        <v>1.3888888888888889E-3</v>
      </c>
      <c r="G249" s="93">
        <v>44669.504861111112</v>
      </c>
      <c r="H249" s="93">
        <v>44669.506249999999</v>
      </c>
      <c r="I249" s="93">
        <v>44669.395833333336</v>
      </c>
    </row>
    <row r="250" spans="1:9" x14ac:dyDescent="0.25">
      <c r="A250" s="70">
        <v>216</v>
      </c>
      <c r="B250" s="95" t="s">
        <v>305</v>
      </c>
      <c r="C250" s="90">
        <v>53112313</v>
      </c>
      <c r="D250" s="90">
        <v>53112303</v>
      </c>
      <c r="E250" s="90" t="s">
        <v>108</v>
      </c>
      <c r="F250" s="92">
        <v>3.4722222222222224E-4</v>
      </c>
      <c r="G250" s="93">
        <v>44669.504861111112</v>
      </c>
      <c r="H250" s="93">
        <v>44669.504861111112</v>
      </c>
      <c r="I250" s="93">
        <v>44669.395833333336</v>
      </c>
    </row>
    <row r="251" spans="1:9" x14ac:dyDescent="0.25">
      <c r="A251" s="69">
        <v>217</v>
      </c>
      <c r="B251" s="95" t="s">
        <v>307</v>
      </c>
      <c r="C251" s="90">
        <v>53112312</v>
      </c>
      <c r="D251" s="90">
        <v>53112303</v>
      </c>
      <c r="E251" s="90" t="s">
        <v>108</v>
      </c>
      <c r="F251" s="92">
        <v>3.4722222222222224E-4</v>
      </c>
      <c r="G251" s="93">
        <v>44669.504861111112</v>
      </c>
      <c r="H251" s="93">
        <v>44669.504861111112</v>
      </c>
      <c r="I251" s="93">
        <v>44669.395833333336</v>
      </c>
    </row>
    <row r="252" spans="1:9" x14ac:dyDescent="0.25">
      <c r="A252" s="70">
        <v>218</v>
      </c>
      <c r="B252" s="95" t="s">
        <v>306</v>
      </c>
      <c r="C252" s="90">
        <v>53112310</v>
      </c>
      <c r="D252" s="90">
        <v>53112303</v>
      </c>
      <c r="E252" s="90" t="s">
        <v>108</v>
      </c>
      <c r="F252" s="92">
        <v>3.4722222222222224E-4</v>
      </c>
      <c r="G252" s="93">
        <v>44669.504861111112</v>
      </c>
      <c r="H252" s="93">
        <v>44669.504861111112</v>
      </c>
      <c r="I252" s="93">
        <v>44669.395833333336</v>
      </c>
    </row>
    <row r="253" spans="1:9" x14ac:dyDescent="0.25">
      <c r="A253" s="69">
        <v>219</v>
      </c>
      <c r="B253" s="95" t="s">
        <v>308</v>
      </c>
      <c r="C253" s="90">
        <v>53112311</v>
      </c>
      <c r="D253" s="90">
        <v>53112303</v>
      </c>
      <c r="E253" s="90" t="s">
        <v>108</v>
      </c>
      <c r="F253" s="92">
        <v>3.5879629629629635E-4</v>
      </c>
      <c r="G253" s="93">
        <v>44669.504861111112</v>
      </c>
      <c r="H253" s="93">
        <v>44669.504861111112</v>
      </c>
      <c r="I253" s="93">
        <v>44669.395833333336</v>
      </c>
    </row>
    <row r="254" spans="1:9" x14ac:dyDescent="0.25">
      <c r="A254" s="70">
        <v>220</v>
      </c>
      <c r="B254" s="95" t="s">
        <v>309</v>
      </c>
      <c r="C254" s="90">
        <v>53112305</v>
      </c>
      <c r="D254" s="90">
        <v>53112303</v>
      </c>
      <c r="E254" s="90" t="s">
        <v>108</v>
      </c>
      <c r="F254" s="92">
        <v>3.4722222222222224E-4</v>
      </c>
      <c r="G254" s="93">
        <v>44669.50277777778</v>
      </c>
      <c r="H254" s="93">
        <v>44669.503472222219</v>
      </c>
      <c r="I254" s="93">
        <v>44669.395833333336</v>
      </c>
    </row>
    <row r="255" spans="1:9" x14ac:dyDescent="0.25">
      <c r="A255" s="69">
        <v>221</v>
      </c>
      <c r="B255" s="95" t="s">
        <v>310</v>
      </c>
      <c r="C255" s="90">
        <v>53112307</v>
      </c>
      <c r="D255" s="90">
        <v>53112303</v>
      </c>
      <c r="E255" s="90" t="s">
        <v>108</v>
      </c>
      <c r="F255" s="92">
        <v>1.7476851851851852E-3</v>
      </c>
      <c r="G255" s="93">
        <v>44669.50277777778</v>
      </c>
      <c r="H255" s="93">
        <v>44669.504861111112</v>
      </c>
      <c r="I255" s="93">
        <v>44669.395833333336</v>
      </c>
    </row>
    <row r="256" spans="1:9" x14ac:dyDescent="0.25">
      <c r="A256" s="70">
        <v>222</v>
      </c>
      <c r="B256" s="94" t="s">
        <v>313</v>
      </c>
      <c r="C256" s="90">
        <v>53110464</v>
      </c>
      <c r="D256" s="90">
        <v>53110463</v>
      </c>
      <c r="E256" s="90" t="s">
        <v>170</v>
      </c>
      <c r="F256" s="92">
        <v>0</v>
      </c>
      <c r="G256" s="91"/>
      <c r="H256" s="93">
        <v>44669.50277777778</v>
      </c>
      <c r="I256" s="93">
        <v>44669.395833333336</v>
      </c>
    </row>
    <row r="257" spans="1:9" x14ac:dyDescent="0.25">
      <c r="A257" s="69">
        <v>223</v>
      </c>
      <c r="B257" s="94" t="s">
        <v>314</v>
      </c>
      <c r="C257" s="90">
        <v>53110465</v>
      </c>
      <c r="D257" s="90">
        <v>53110463</v>
      </c>
      <c r="E257" s="90" t="s">
        <v>108</v>
      </c>
      <c r="F257" s="92">
        <v>1.0416666666666667E-3</v>
      </c>
      <c r="G257" s="93">
        <v>44669.50277777778</v>
      </c>
      <c r="H257" s="93">
        <v>44669.504166666666</v>
      </c>
      <c r="I257" s="93">
        <v>44669.395833333336</v>
      </c>
    </row>
    <row r="258" spans="1:9" x14ac:dyDescent="0.25">
      <c r="A258" s="70">
        <v>224</v>
      </c>
      <c r="B258" s="94" t="s">
        <v>315</v>
      </c>
      <c r="C258" s="90">
        <v>53110466</v>
      </c>
      <c r="D258" s="90">
        <v>53110463</v>
      </c>
      <c r="E258" s="90" t="s">
        <v>108</v>
      </c>
      <c r="F258" s="92">
        <v>5.0810185185185186E-3</v>
      </c>
      <c r="G258" s="93">
        <v>44669.50277777778</v>
      </c>
      <c r="H258" s="93">
        <v>44669.507638888892</v>
      </c>
      <c r="I258" s="93">
        <v>44669.395833333336</v>
      </c>
    </row>
    <row r="259" spans="1:9" x14ac:dyDescent="0.25">
      <c r="A259" s="69">
        <v>225</v>
      </c>
      <c r="B259" s="89" t="s">
        <v>84</v>
      </c>
      <c r="C259" s="90">
        <v>53112356</v>
      </c>
      <c r="D259" s="90">
        <v>53111323</v>
      </c>
      <c r="E259" s="90" t="s">
        <v>108</v>
      </c>
      <c r="F259" s="92">
        <v>5.7847222222222223E-2</v>
      </c>
      <c r="G259" s="93">
        <v>44669.522916666669</v>
      </c>
      <c r="H259" s="93">
        <v>44669.580555555556</v>
      </c>
      <c r="I259" s="93">
        <v>44669.395833333336</v>
      </c>
    </row>
    <row r="260" spans="1:9" x14ac:dyDescent="0.25">
      <c r="A260" s="70">
        <v>226</v>
      </c>
      <c r="B260" s="94" t="s">
        <v>319</v>
      </c>
      <c r="C260" s="90">
        <v>53112380</v>
      </c>
      <c r="D260" s="90">
        <v>53112356</v>
      </c>
      <c r="E260" s="90" t="s">
        <v>111</v>
      </c>
      <c r="F260" s="92">
        <v>0</v>
      </c>
      <c r="G260" s="91"/>
      <c r="H260" s="93">
        <v>44669.395833333336</v>
      </c>
      <c r="I260" s="93">
        <v>44669.395833333336</v>
      </c>
    </row>
    <row r="261" spans="1:9" x14ac:dyDescent="0.25">
      <c r="A261" s="69">
        <v>227</v>
      </c>
      <c r="B261" s="94" t="s">
        <v>318</v>
      </c>
      <c r="C261" s="90">
        <v>53112381</v>
      </c>
      <c r="D261" s="90">
        <v>53112356</v>
      </c>
      <c r="E261" s="90" t="s">
        <v>111</v>
      </c>
      <c r="F261" s="92">
        <v>0</v>
      </c>
      <c r="G261" s="91"/>
      <c r="H261" s="93">
        <v>44669.395833333336</v>
      </c>
      <c r="I261" s="93">
        <v>44669.395833333336</v>
      </c>
    </row>
    <row r="262" spans="1:9" x14ac:dyDescent="0.25">
      <c r="A262" s="70">
        <v>228</v>
      </c>
      <c r="B262" s="94" t="s">
        <v>321</v>
      </c>
      <c r="C262" s="90">
        <v>53112382</v>
      </c>
      <c r="D262" s="90">
        <v>53112356</v>
      </c>
      <c r="E262" s="90" t="s">
        <v>111</v>
      </c>
      <c r="F262" s="92">
        <v>0</v>
      </c>
      <c r="G262" s="91"/>
      <c r="H262" s="93">
        <v>44669.395833333336</v>
      </c>
      <c r="I262" s="93">
        <v>44669.395833333336</v>
      </c>
    </row>
    <row r="263" spans="1:9" x14ac:dyDescent="0.25">
      <c r="A263" s="69">
        <v>229</v>
      </c>
      <c r="B263" s="94" t="s">
        <v>333</v>
      </c>
      <c r="C263" s="90">
        <v>53112361</v>
      </c>
      <c r="D263" s="90">
        <v>53112356</v>
      </c>
      <c r="E263" s="90" t="s">
        <v>111</v>
      </c>
      <c r="F263" s="92">
        <v>0</v>
      </c>
      <c r="G263" s="91"/>
      <c r="H263" s="93">
        <v>44669.395833333336</v>
      </c>
      <c r="I263" s="93">
        <v>44669.395833333336</v>
      </c>
    </row>
    <row r="264" spans="1:9" x14ac:dyDescent="0.25">
      <c r="A264" s="70">
        <v>230</v>
      </c>
      <c r="B264" s="94" t="s">
        <v>332</v>
      </c>
      <c r="C264" s="90">
        <v>53112362</v>
      </c>
      <c r="D264" s="90">
        <v>53112356</v>
      </c>
      <c r="E264" s="90" t="s">
        <v>170</v>
      </c>
      <c r="F264" s="92">
        <v>0</v>
      </c>
      <c r="G264" s="91"/>
      <c r="H264" s="93">
        <v>44669.522916666669</v>
      </c>
      <c r="I264" s="93">
        <v>44669.395833333336</v>
      </c>
    </row>
    <row r="265" spans="1:9" x14ac:dyDescent="0.25">
      <c r="A265" s="69">
        <v>231</v>
      </c>
      <c r="B265" s="94" t="s">
        <v>331</v>
      </c>
      <c r="C265" s="90">
        <v>53112363</v>
      </c>
      <c r="D265" s="90">
        <v>53112356</v>
      </c>
      <c r="E265" s="90" t="s">
        <v>111</v>
      </c>
      <c r="F265" s="92">
        <v>0</v>
      </c>
      <c r="G265" s="91"/>
      <c r="H265" s="93">
        <v>44669.395833333336</v>
      </c>
      <c r="I265" s="93">
        <v>44669.395833333336</v>
      </c>
    </row>
    <row r="266" spans="1:9" x14ac:dyDescent="0.25">
      <c r="A266" s="70">
        <v>232</v>
      </c>
      <c r="B266" s="94" t="s">
        <v>330</v>
      </c>
      <c r="C266" s="90">
        <v>53112364</v>
      </c>
      <c r="D266" s="90">
        <v>53112356</v>
      </c>
      <c r="E266" s="90" t="s">
        <v>111</v>
      </c>
      <c r="F266" s="92">
        <v>0</v>
      </c>
      <c r="G266" s="91"/>
      <c r="H266" s="93">
        <v>44669.395833333336</v>
      </c>
      <c r="I266" s="93">
        <v>44669.395833333336</v>
      </c>
    </row>
    <row r="267" spans="1:9" x14ac:dyDescent="0.25">
      <c r="A267" s="69">
        <v>233</v>
      </c>
      <c r="B267" s="94" t="s">
        <v>329</v>
      </c>
      <c r="C267" s="90">
        <v>53112365</v>
      </c>
      <c r="D267" s="90">
        <v>53112356</v>
      </c>
      <c r="E267" s="90" t="s">
        <v>111</v>
      </c>
      <c r="F267" s="92">
        <v>0</v>
      </c>
      <c r="G267" s="91"/>
      <c r="H267" s="93">
        <v>44669.395833333336</v>
      </c>
      <c r="I267" s="93">
        <v>44669.395833333336</v>
      </c>
    </row>
    <row r="268" spans="1:9" x14ac:dyDescent="0.25">
      <c r="A268" s="70">
        <v>234</v>
      </c>
      <c r="B268" s="94" t="s">
        <v>328</v>
      </c>
      <c r="C268" s="90">
        <v>53112366</v>
      </c>
      <c r="D268" s="90">
        <v>53112356</v>
      </c>
      <c r="E268" s="90" t="s">
        <v>111</v>
      </c>
      <c r="F268" s="92">
        <v>0</v>
      </c>
      <c r="G268" s="91"/>
      <c r="H268" s="93">
        <v>44669.395833333336</v>
      </c>
      <c r="I268" s="93">
        <v>44669.395833333336</v>
      </c>
    </row>
    <row r="269" spans="1:9" x14ac:dyDescent="0.25">
      <c r="A269" s="69">
        <v>235</v>
      </c>
      <c r="B269" s="94" t="s">
        <v>327</v>
      </c>
      <c r="C269" s="90">
        <v>53112367</v>
      </c>
      <c r="D269" s="90">
        <v>53112356</v>
      </c>
      <c r="E269" s="90" t="s">
        <v>111</v>
      </c>
      <c r="F269" s="92">
        <v>0</v>
      </c>
      <c r="G269" s="91"/>
      <c r="H269" s="93">
        <v>44669.395833333336</v>
      </c>
      <c r="I269" s="93">
        <v>44669.395833333336</v>
      </c>
    </row>
    <row r="270" spans="1:9" x14ac:dyDescent="0.25">
      <c r="A270" s="70">
        <v>236</v>
      </c>
      <c r="B270" s="94" t="s">
        <v>326</v>
      </c>
      <c r="C270" s="90">
        <v>53112368</v>
      </c>
      <c r="D270" s="90">
        <v>53112356</v>
      </c>
      <c r="E270" s="90" t="s">
        <v>111</v>
      </c>
      <c r="F270" s="92">
        <v>0</v>
      </c>
      <c r="G270" s="91"/>
      <c r="H270" s="93">
        <v>44669.395833333336</v>
      </c>
      <c r="I270" s="93">
        <v>44669.395833333336</v>
      </c>
    </row>
    <row r="271" spans="1:9" x14ac:dyDescent="0.25">
      <c r="A271" s="69">
        <v>237</v>
      </c>
      <c r="B271" s="94" t="s">
        <v>334</v>
      </c>
      <c r="C271" s="90">
        <v>53112360</v>
      </c>
      <c r="D271" s="90">
        <v>53112356</v>
      </c>
      <c r="E271" s="90" t="s">
        <v>111</v>
      </c>
      <c r="F271" s="92">
        <v>0</v>
      </c>
      <c r="G271" s="91"/>
      <c r="H271" s="93">
        <v>44669.395833333336</v>
      </c>
      <c r="I271" s="93">
        <v>44669.395833333336</v>
      </c>
    </row>
    <row r="272" spans="1:9" x14ac:dyDescent="0.25">
      <c r="A272" s="70">
        <v>238</v>
      </c>
      <c r="B272" s="94" t="s">
        <v>336</v>
      </c>
      <c r="C272" s="90">
        <v>53112359</v>
      </c>
      <c r="D272" s="90">
        <v>53112356</v>
      </c>
      <c r="E272" s="90" t="s">
        <v>111</v>
      </c>
      <c r="F272" s="92">
        <v>0</v>
      </c>
      <c r="G272" s="91"/>
      <c r="H272" s="93">
        <v>44669.395833333336</v>
      </c>
      <c r="I272" s="93">
        <v>44669.395833333336</v>
      </c>
    </row>
    <row r="273" spans="1:9" x14ac:dyDescent="0.25">
      <c r="A273" s="69">
        <v>239</v>
      </c>
      <c r="B273" s="94" t="s">
        <v>325</v>
      </c>
      <c r="C273" s="90">
        <v>53112357</v>
      </c>
      <c r="D273" s="90">
        <v>53112356</v>
      </c>
      <c r="E273" s="90" t="s">
        <v>111</v>
      </c>
      <c r="F273" s="92">
        <v>0</v>
      </c>
      <c r="G273" s="91"/>
      <c r="H273" s="93">
        <v>44669.395833333336</v>
      </c>
      <c r="I273" s="93">
        <v>44669.395833333336</v>
      </c>
    </row>
    <row r="274" spans="1:9" x14ac:dyDescent="0.25">
      <c r="A274" s="70">
        <v>240</v>
      </c>
      <c r="B274" s="94" t="s">
        <v>335</v>
      </c>
      <c r="C274" s="90">
        <v>53112358</v>
      </c>
      <c r="D274" s="90">
        <v>53112356</v>
      </c>
      <c r="E274" s="90" t="s">
        <v>111</v>
      </c>
      <c r="F274" s="92">
        <v>0</v>
      </c>
      <c r="G274" s="91"/>
      <c r="H274" s="93">
        <v>44669.395833333336</v>
      </c>
      <c r="I274" s="93">
        <v>44669.395833333336</v>
      </c>
    </row>
    <row r="275" spans="1:9" x14ac:dyDescent="0.25">
      <c r="A275" s="69">
        <v>241</v>
      </c>
      <c r="B275" s="94" t="s">
        <v>317</v>
      </c>
      <c r="C275" s="90">
        <v>53112378</v>
      </c>
      <c r="D275" s="90">
        <v>53112356</v>
      </c>
      <c r="E275" s="90" t="s">
        <v>111</v>
      </c>
      <c r="F275" s="92">
        <v>0</v>
      </c>
      <c r="G275" s="91"/>
      <c r="H275" s="93">
        <v>44669.395833333336</v>
      </c>
      <c r="I275" s="93">
        <v>44669.395833333336</v>
      </c>
    </row>
    <row r="276" spans="1:9" x14ac:dyDescent="0.25">
      <c r="A276" s="70">
        <v>242</v>
      </c>
      <c r="B276" s="94" t="s">
        <v>320</v>
      </c>
      <c r="C276" s="90">
        <v>53112377</v>
      </c>
      <c r="D276" s="90">
        <v>53112356</v>
      </c>
      <c r="E276" s="90" t="s">
        <v>111</v>
      </c>
      <c r="F276" s="92">
        <v>0</v>
      </c>
      <c r="G276" s="91"/>
      <c r="H276" s="93">
        <v>44669.395833333336</v>
      </c>
      <c r="I276" s="93">
        <v>44669.395833333336</v>
      </c>
    </row>
    <row r="277" spans="1:9" x14ac:dyDescent="0.25">
      <c r="A277" s="69">
        <v>243</v>
      </c>
      <c r="B277" s="94" t="s">
        <v>316</v>
      </c>
      <c r="C277" s="90">
        <v>53112376</v>
      </c>
      <c r="D277" s="90">
        <v>53112356</v>
      </c>
      <c r="E277" s="90" t="s">
        <v>111</v>
      </c>
      <c r="F277" s="92">
        <v>0</v>
      </c>
      <c r="G277" s="91"/>
      <c r="H277" s="93">
        <v>44669.395833333336</v>
      </c>
      <c r="I277" s="93">
        <v>44669.395833333336</v>
      </c>
    </row>
    <row r="278" spans="1:9" x14ac:dyDescent="0.25">
      <c r="A278" s="69">
        <v>245</v>
      </c>
      <c r="B278" s="94" t="s">
        <v>322</v>
      </c>
      <c r="C278" s="90">
        <v>53112379</v>
      </c>
      <c r="D278" s="90">
        <v>53112356</v>
      </c>
      <c r="E278" s="90" t="s">
        <v>108</v>
      </c>
      <c r="F278" s="92">
        <v>2.4305555555555556E-3</v>
      </c>
      <c r="G278" s="93">
        <v>44669.577777777777</v>
      </c>
      <c r="H278" s="93">
        <v>44669.580555555556</v>
      </c>
      <c r="I278" s="93">
        <v>44669.395833333336</v>
      </c>
    </row>
    <row r="279" spans="1:9" x14ac:dyDescent="0.25">
      <c r="A279" s="70">
        <v>246</v>
      </c>
      <c r="B279" s="94" t="s">
        <v>323</v>
      </c>
      <c r="C279" s="90">
        <v>53112375</v>
      </c>
      <c r="D279" s="90">
        <v>53112356</v>
      </c>
      <c r="E279" s="90" t="s">
        <v>108</v>
      </c>
      <c r="F279" s="92">
        <v>1.0416666666666667E-3</v>
      </c>
      <c r="G279" s="93">
        <v>44669.527777777781</v>
      </c>
      <c r="H279" s="93">
        <v>44669.52847222222</v>
      </c>
      <c r="I279" s="93">
        <v>44669.395833333336</v>
      </c>
    </row>
    <row r="280" spans="1:9" x14ac:dyDescent="0.25">
      <c r="A280" s="69">
        <v>247</v>
      </c>
      <c r="B280" s="94" t="s">
        <v>324</v>
      </c>
      <c r="C280" s="90">
        <v>53112374</v>
      </c>
      <c r="D280" s="90">
        <v>53112356</v>
      </c>
      <c r="E280" s="90" t="s">
        <v>108</v>
      </c>
      <c r="F280" s="92">
        <v>7.0601851851851847E-4</v>
      </c>
      <c r="G280" s="93">
        <v>44669.527083333334</v>
      </c>
      <c r="H280" s="93">
        <v>44669.527777777781</v>
      </c>
      <c r="I280" s="93">
        <v>44669.395833333336</v>
      </c>
    </row>
    <row r="281" spans="1:9" x14ac:dyDescent="0.25">
      <c r="A281" s="70">
        <v>248</v>
      </c>
      <c r="B281" s="94" t="s">
        <v>337</v>
      </c>
      <c r="C281" s="90">
        <v>53112373</v>
      </c>
      <c r="D281" s="90">
        <v>53112356</v>
      </c>
      <c r="E281" s="90" t="s">
        <v>108</v>
      </c>
      <c r="F281" s="92">
        <v>6.9444444444444447E-4</v>
      </c>
      <c r="G281" s="93">
        <v>44669.526388888888</v>
      </c>
      <c r="H281" s="93">
        <v>44669.527083333334</v>
      </c>
      <c r="I281" s="93">
        <v>44669.395833333336</v>
      </c>
    </row>
    <row r="282" spans="1:9" x14ac:dyDescent="0.25">
      <c r="A282" s="69">
        <v>249</v>
      </c>
      <c r="B282" s="94" t="s">
        <v>338</v>
      </c>
      <c r="C282" s="90">
        <v>53112372</v>
      </c>
      <c r="D282" s="90">
        <v>53112356</v>
      </c>
      <c r="E282" s="90" t="s">
        <v>108</v>
      </c>
      <c r="F282" s="92">
        <v>6.9444444444444447E-4</v>
      </c>
      <c r="G282" s="93">
        <v>44669.525694444441</v>
      </c>
      <c r="H282" s="93">
        <v>44669.526388888888</v>
      </c>
      <c r="I282" s="93">
        <v>44669.395833333336</v>
      </c>
    </row>
    <row r="283" spans="1:9" x14ac:dyDescent="0.25">
      <c r="A283" s="70">
        <v>250</v>
      </c>
      <c r="B283" s="94" t="s">
        <v>339</v>
      </c>
      <c r="C283" s="90">
        <v>53112371</v>
      </c>
      <c r="D283" s="90">
        <v>53112356</v>
      </c>
      <c r="E283" s="90" t="s">
        <v>108</v>
      </c>
      <c r="F283" s="92">
        <v>2.0833333333333333E-3</v>
      </c>
      <c r="G283" s="93">
        <v>44669.523611111108</v>
      </c>
      <c r="H283" s="93">
        <v>44669.525694444441</v>
      </c>
      <c r="I283" s="93">
        <v>44669.395833333336</v>
      </c>
    </row>
    <row r="284" spans="1:9" x14ac:dyDescent="0.25">
      <c r="A284" s="69">
        <v>251</v>
      </c>
      <c r="B284" s="94" t="s">
        <v>340</v>
      </c>
      <c r="C284" s="90">
        <v>53112370</v>
      </c>
      <c r="D284" s="90">
        <v>53112356</v>
      </c>
      <c r="E284" s="90" t="s">
        <v>108</v>
      </c>
      <c r="F284" s="92">
        <v>3.4722222222222224E-4</v>
      </c>
      <c r="G284" s="93">
        <v>44669.522916666669</v>
      </c>
      <c r="H284" s="93">
        <v>44669.523611111108</v>
      </c>
      <c r="I284" s="93">
        <v>44669.395833333336</v>
      </c>
    </row>
    <row r="285" spans="1:9" x14ac:dyDescent="0.25">
      <c r="A285" s="70">
        <v>252</v>
      </c>
      <c r="B285" s="94" t="s">
        <v>341</v>
      </c>
      <c r="C285" s="90">
        <v>53112369</v>
      </c>
      <c r="D285" s="90">
        <v>53112356</v>
      </c>
      <c r="E285" s="90" t="s">
        <v>108</v>
      </c>
      <c r="F285" s="92">
        <v>3.4722222222222224E-4</v>
      </c>
      <c r="G285" s="93">
        <v>44669.522916666669</v>
      </c>
      <c r="H285" s="93">
        <v>44669.522916666669</v>
      </c>
      <c r="I285" s="93">
        <v>44669.395833333336</v>
      </c>
    </row>
    <row r="286" spans="1:9" x14ac:dyDescent="0.25">
      <c r="A286" s="69">
        <v>253</v>
      </c>
      <c r="B286" s="89" t="s">
        <v>342</v>
      </c>
      <c r="C286" s="90">
        <v>53112383</v>
      </c>
      <c r="D286" s="90">
        <v>53111323</v>
      </c>
      <c r="E286" s="90" t="s">
        <v>111</v>
      </c>
      <c r="F286" s="92">
        <v>0</v>
      </c>
      <c r="G286" s="91"/>
      <c r="H286" s="93">
        <v>44669.395833333336</v>
      </c>
      <c r="I286" s="93">
        <v>44669.395833333336</v>
      </c>
    </row>
    <row r="287" spans="1:9" x14ac:dyDescent="0.25">
      <c r="A287" s="70">
        <v>254</v>
      </c>
      <c r="B287" s="89" t="s">
        <v>344</v>
      </c>
      <c r="C287" s="90">
        <v>53112394</v>
      </c>
      <c r="D287" s="90">
        <v>53111323</v>
      </c>
      <c r="E287" s="90" t="s">
        <v>111</v>
      </c>
      <c r="F287" s="92">
        <v>0</v>
      </c>
      <c r="G287" s="91"/>
      <c r="H287" s="93">
        <v>44669.395833333336</v>
      </c>
      <c r="I287" s="93">
        <v>44669.395833333336</v>
      </c>
    </row>
    <row r="288" spans="1:9" x14ac:dyDescent="0.25">
      <c r="A288" s="69">
        <v>255</v>
      </c>
      <c r="B288" s="89" t="s">
        <v>347</v>
      </c>
      <c r="C288" s="90">
        <v>53112411</v>
      </c>
      <c r="D288" s="90">
        <v>53111323</v>
      </c>
      <c r="E288" s="90" t="s">
        <v>108</v>
      </c>
      <c r="F288" s="92">
        <v>0</v>
      </c>
      <c r="G288" s="93">
        <v>44669.580555555556</v>
      </c>
      <c r="H288" s="93">
        <v>44669.580555555556</v>
      </c>
      <c r="I288" s="93">
        <v>44669.395833333336</v>
      </c>
    </row>
    <row r="289" spans="1:9" x14ac:dyDescent="0.25">
      <c r="A289" s="70">
        <v>256</v>
      </c>
      <c r="B289" s="89" t="s">
        <v>346</v>
      </c>
      <c r="C289" s="90">
        <v>53112400</v>
      </c>
      <c r="D289" s="90">
        <v>53111323</v>
      </c>
      <c r="E289" s="90" t="s">
        <v>108</v>
      </c>
      <c r="F289" s="92">
        <v>0</v>
      </c>
      <c r="G289" s="93">
        <v>44669.580555555556</v>
      </c>
      <c r="H289" s="93">
        <v>44669.580555555556</v>
      </c>
      <c r="I289" s="93">
        <v>44669.395833333336</v>
      </c>
    </row>
    <row r="290" spans="1:9" x14ac:dyDescent="0.25">
      <c r="A290" s="69">
        <v>257</v>
      </c>
      <c r="B290" s="89" t="s">
        <v>345</v>
      </c>
      <c r="C290" s="90">
        <v>53112395</v>
      </c>
      <c r="D290" s="90">
        <v>53111323</v>
      </c>
      <c r="E290" s="90" t="s">
        <v>108</v>
      </c>
      <c r="F290" s="92">
        <v>0</v>
      </c>
      <c r="G290" s="93">
        <v>44669.580555555556</v>
      </c>
      <c r="H290" s="93">
        <v>44669.580555555556</v>
      </c>
      <c r="I290" s="93">
        <v>44669.395833333336</v>
      </c>
    </row>
    <row r="291" spans="1:9" x14ac:dyDescent="0.25">
      <c r="A291" s="70">
        <v>258</v>
      </c>
      <c r="B291" s="89" t="s">
        <v>85</v>
      </c>
      <c r="C291" s="90">
        <v>53112413</v>
      </c>
      <c r="D291" s="90">
        <v>53111323</v>
      </c>
      <c r="E291" s="90" t="s">
        <v>108</v>
      </c>
      <c r="F291" s="92">
        <v>3.5034722222222224E-2</v>
      </c>
      <c r="G291" s="93">
        <v>44669.50277777778</v>
      </c>
      <c r="H291" s="93">
        <v>44669.538194444445</v>
      </c>
      <c r="I291" s="93">
        <v>44669.395833333336</v>
      </c>
    </row>
    <row r="292" spans="1:9" x14ac:dyDescent="0.25">
      <c r="A292" s="69">
        <v>259</v>
      </c>
      <c r="B292" s="94" t="s">
        <v>366</v>
      </c>
      <c r="C292" s="90">
        <v>53112414</v>
      </c>
      <c r="D292" s="90">
        <v>53112413</v>
      </c>
      <c r="E292" s="90" t="s">
        <v>111</v>
      </c>
      <c r="F292" s="92">
        <v>0</v>
      </c>
      <c r="G292" s="91"/>
      <c r="H292" s="93">
        <v>44669.395833333336</v>
      </c>
      <c r="I292" s="93">
        <v>44669.395833333336</v>
      </c>
    </row>
    <row r="293" spans="1:9" x14ac:dyDescent="0.25">
      <c r="A293" s="70">
        <v>260</v>
      </c>
      <c r="B293" s="94" t="s">
        <v>348</v>
      </c>
      <c r="C293" s="90">
        <v>53112431</v>
      </c>
      <c r="D293" s="90">
        <v>53112413</v>
      </c>
      <c r="E293" s="90" t="s">
        <v>108</v>
      </c>
      <c r="F293" s="92">
        <v>1.1574074074074073E-5</v>
      </c>
      <c r="G293" s="93">
        <v>44669.537499999999</v>
      </c>
      <c r="H293" s="93">
        <v>44669.537499999999</v>
      </c>
      <c r="I293" s="93">
        <v>44669.395833333336</v>
      </c>
    </row>
    <row r="294" spans="1:9" x14ac:dyDescent="0.25">
      <c r="A294" s="69">
        <v>261</v>
      </c>
      <c r="B294" s="94" t="s">
        <v>349</v>
      </c>
      <c r="C294" s="90">
        <v>53112430</v>
      </c>
      <c r="D294" s="90">
        <v>53112413</v>
      </c>
      <c r="E294" s="90" t="s">
        <v>108</v>
      </c>
      <c r="F294" s="92">
        <v>8.1018518518518516E-5</v>
      </c>
      <c r="G294" s="93">
        <v>44669.537499999999</v>
      </c>
      <c r="H294" s="93">
        <v>44669.537499999999</v>
      </c>
      <c r="I294" s="93">
        <v>44669.395833333336</v>
      </c>
    </row>
    <row r="295" spans="1:9" x14ac:dyDescent="0.25">
      <c r="A295" s="70">
        <v>262</v>
      </c>
      <c r="B295" s="94" t="s">
        <v>350</v>
      </c>
      <c r="C295" s="90">
        <v>53112429</v>
      </c>
      <c r="D295" s="90">
        <v>53112413</v>
      </c>
      <c r="E295" s="90" t="s">
        <v>108</v>
      </c>
      <c r="F295" s="92">
        <v>8.4027777777777781E-3</v>
      </c>
      <c r="G295" s="93">
        <v>44669.529166666667</v>
      </c>
      <c r="H295" s="93">
        <v>44669.537499999999</v>
      </c>
      <c r="I295" s="93">
        <v>44669.395833333336</v>
      </c>
    </row>
    <row r="296" spans="1:9" x14ac:dyDescent="0.25">
      <c r="A296" s="69">
        <v>263</v>
      </c>
      <c r="B296" s="94" t="s">
        <v>351</v>
      </c>
      <c r="C296" s="90">
        <v>53112428</v>
      </c>
      <c r="D296" s="90">
        <v>53112413</v>
      </c>
      <c r="E296" s="90" t="s">
        <v>108</v>
      </c>
      <c r="F296" s="92">
        <v>5.7870370370370366E-5</v>
      </c>
      <c r="G296" s="93">
        <v>44669.529166666667</v>
      </c>
      <c r="H296" s="93">
        <v>44669.529166666667</v>
      </c>
      <c r="I296" s="93">
        <v>44669.395833333336</v>
      </c>
    </row>
    <row r="297" spans="1:9" x14ac:dyDescent="0.25">
      <c r="A297" s="70">
        <v>264</v>
      </c>
      <c r="B297" s="94" t="s">
        <v>352</v>
      </c>
      <c r="C297" s="90">
        <v>53112427</v>
      </c>
      <c r="D297" s="90">
        <v>53112413</v>
      </c>
      <c r="E297" s="90" t="s">
        <v>108</v>
      </c>
      <c r="F297" s="92">
        <v>5.6712962962962956E-4</v>
      </c>
      <c r="G297" s="93">
        <v>44669.52847222222</v>
      </c>
      <c r="H297" s="93">
        <v>44669.529166666667</v>
      </c>
      <c r="I297" s="93">
        <v>44669.395833333336</v>
      </c>
    </row>
    <row r="298" spans="1:9" x14ac:dyDescent="0.25">
      <c r="A298" s="69">
        <v>265</v>
      </c>
      <c r="B298" s="94" t="s">
        <v>360</v>
      </c>
      <c r="C298" s="90">
        <v>53112426</v>
      </c>
      <c r="D298" s="90">
        <v>53112413</v>
      </c>
      <c r="E298" s="90" t="s">
        <v>108</v>
      </c>
      <c r="F298" s="92">
        <v>8.564814814814815E-4</v>
      </c>
      <c r="G298" s="93">
        <v>44669.527777777781</v>
      </c>
      <c r="H298" s="93">
        <v>44669.52847222222</v>
      </c>
      <c r="I298" s="93">
        <v>44669.395833333336</v>
      </c>
    </row>
    <row r="299" spans="1:9" x14ac:dyDescent="0.25">
      <c r="A299" s="70">
        <v>266</v>
      </c>
      <c r="B299" s="94" t="s">
        <v>353</v>
      </c>
      <c r="C299" s="90">
        <v>53112439</v>
      </c>
      <c r="D299" s="90">
        <v>53112413</v>
      </c>
      <c r="E299" s="90" t="s">
        <v>108</v>
      </c>
      <c r="F299" s="92">
        <v>8.4837962962962966E-3</v>
      </c>
      <c r="G299" s="93">
        <v>44669.522916666669</v>
      </c>
      <c r="H299" s="93">
        <v>44669.53125</v>
      </c>
      <c r="I299" s="93">
        <v>44669.395833333336</v>
      </c>
    </row>
    <row r="300" spans="1:9" x14ac:dyDescent="0.25">
      <c r="A300" s="69">
        <v>267</v>
      </c>
      <c r="B300" s="94" t="s">
        <v>362</v>
      </c>
      <c r="C300" s="90">
        <v>53112419</v>
      </c>
      <c r="D300" s="90">
        <v>53112413</v>
      </c>
      <c r="E300" s="90" t="s">
        <v>108</v>
      </c>
      <c r="F300" s="92">
        <v>6.6087962962962966E-3</v>
      </c>
      <c r="G300" s="93">
        <v>44669.520833333336</v>
      </c>
      <c r="H300" s="93">
        <v>44669.527777777781</v>
      </c>
      <c r="I300" s="93">
        <v>44669.395833333336</v>
      </c>
    </row>
    <row r="301" spans="1:9" x14ac:dyDescent="0.25">
      <c r="A301" s="70">
        <v>268</v>
      </c>
      <c r="B301" s="94" t="s">
        <v>361</v>
      </c>
      <c r="C301" s="90">
        <v>53112420</v>
      </c>
      <c r="D301" s="90">
        <v>53112413</v>
      </c>
      <c r="E301" s="90" t="s">
        <v>108</v>
      </c>
      <c r="F301" s="92">
        <v>1.699074074074074E-2</v>
      </c>
      <c r="G301" s="93">
        <v>44669.520833333336</v>
      </c>
      <c r="H301" s="93">
        <v>44669.538194444445</v>
      </c>
      <c r="I301" s="93">
        <v>44669.395833333336</v>
      </c>
    </row>
    <row r="302" spans="1:9" x14ac:dyDescent="0.25">
      <c r="A302" s="69">
        <v>269</v>
      </c>
      <c r="B302" s="94" t="s">
        <v>87</v>
      </c>
      <c r="C302" s="90">
        <v>53112438</v>
      </c>
      <c r="D302" s="90">
        <v>53112413</v>
      </c>
      <c r="E302" s="90" t="s">
        <v>108</v>
      </c>
      <c r="F302" s="92">
        <v>2.4421296296296296E-3</v>
      </c>
      <c r="G302" s="93">
        <v>44669.520138888889</v>
      </c>
      <c r="H302" s="93">
        <v>44669.522916666669</v>
      </c>
      <c r="I302" s="93">
        <v>44669.395833333336</v>
      </c>
    </row>
    <row r="303" spans="1:9" x14ac:dyDescent="0.25">
      <c r="A303" s="70">
        <v>270</v>
      </c>
      <c r="B303" s="94" t="s">
        <v>354</v>
      </c>
      <c r="C303" s="90">
        <v>53112435</v>
      </c>
      <c r="D303" s="90">
        <v>53112413</v>
      </c>
      <c r="E303" s="90" t="s">
        <v>108</v>
      </c>
      <c r="F303" s="92">
        <v>1.7476851851851852E-3</v>
      </c>
      <c r="G303" s="93">
        <v>44669.520138888889</v>
      </c>
      <c r="H303" s="93">
        <v>44669.522222222222</v>
      </c>
      <c r="I303" s="93">
        <v>44669.395833333336</v>
      </c>
    </row>
    <row r="304" spans="1:9" x14ac:dyDescent="0.25">
      <c r="A304" s="69">
        <v>271</v>
      </c>
      <c r="B304" s="94" t="s">
        <v>355</v>
      </c>
      <c r="C304" s="90">
        <v>53112434</v>
      </c>
      <c r="D304" s="90">
        <v>53112413</v>
      </c>
      <c r="E304" s="90" t="s">
        <v>108</v>
      </c>
      <c r="F304" s="92">
        <v>2.7777777777777779E-3</v>
      </c>
      <c r="G304" s="93">
        <v>44669.517361111109</v>
      </c>
      <c r="H304" s="93">
        <v>44669.520138888889</v>
      </c>
      <c r="I304" s="93">
        <v>44669.395833333336</v>
      </c>
    </row>
    <row r="305" spans="1:9" x14ac:dyDescent="0.25">
      <c r="A305" s="70">
        <v>272</v>
      </c>
      <c r="B305" s="94" t="s">
        <v>364</v>
      </c>
      <c r="C305" s="90">
        <v>53112417</v>
      </c>
      <c r="D305" s="90">
        <v>53112413</v>
      </c>
      <c r="E305" s="90" t="s">
        <v>108</v>
      </c>
      <c r="F305" s="92">
        <v>3.4722222222222224E-4</v>
      </c>
      <c r="G305" s="93">
        <v>44669.508333333331</v>
      </c>
      <c r="H305" s="93">
        <v>44669.509027777778</v>
      </c>
      <c r="I305" s="93">
        <v>44669.395833333336</v>
      </c>
    </row>
    <row r="306" spans="1:9" x14ac:dyDescent="0.25">
      <c r="A306" s="69">
        <v>273</v>
      </c>
      <c r="B306" s="94" t="s">
        <v>363</v>
      </c>
      <c r="C306" s="90">
        <v>53112418</v>
      </c>
      <c r="D306" s="90">
        <v>53112413</v>
      </c>
      <c r="E306" s="90" t="s">
        <v>108</v>
      </c>
      <c r="F306" s="92">
        <v>1.2442129629629629E-2</v>
      </c>
      <c r="G306" s="93">
        <v>44669.508333333331</v>
      </c>
      <c r="H306" s="93">
        <v>44669.520833333336</v>
      </c>
      <c r="I306" s="93">
        <v>44669.395833333336</v>
      </c>
    </row>
    <row r="307" spans="1:9" x14ac:dyDescent="0.25">
      <c r="A307" s="70">
        <v>274</v>
      </c>
      <c r="B307" s="94" t="s">
        <v>365</v>
      </c>
      <c r="C307" s="90">
        <v>53112416</v>
      </c>
      <c r="D307" s="90">
        <v>53112413</v>
      </c>
      <c r="E307" s="90" t="s">
        <v>108</v>
      </c>
      <c r="F307" s="92">
        <v>3.9583333333333337E-3</v>
      </c>
      <c r="G307" s="93">
        <v>44669.504861111112</v>
      </c>
      <c r="H307" s="93">
        <v>44669.508333333331</v>
      </c>
      <c r="I307" s="93">
        <v>44669.395833333336</v>
      </c>
    </row>
    <row r="308" spans="1:9" x14ac:dyDescent="0.25">
      <c r="A308" s="69">
        <v>275</v>
      </c>
      <c r="B308" s="94" t="s">
        <v>356</v>
      </c>
      <c r="C308" s="90">
        <v>53112433</v>
      </c>
      <c r="D308" s="90">
        <v>53112413</v>
      </c>
      <c r="E308" s="90" t="s">
        <v>108</v>
      </c>
      <c r="F308" s="92">
        <v>1.2881944444444446E-2</v>
      </c>
      <c r="G308" s="93">
        <v>44669.504861111112</v>
      </c>
      <c r="H308" s="93">
        <v>44669.517361111109</v>
      </c>
      <c r="I308" s="93">
        <v>44669.395833333336</v>
      </c>
    </row>
    <row r="309" spans="1:9" x14ac:dyDescent="0.25">
      <c r="A309" s="70">
        <v>276</v>
      </c>
      <c r="B309" s="94" t="s">
        <v>358</v>
      </c>
      <c r="C309" s="90">
        <v>53112436</v>
      </c>
      <c r="D309" s="90">
        <v>53112413</v>
      </c>
      <c r="E309" s="90" t="s">
        <v>108</v>
      </c>
      <c r="F309" s="92">
        <v>2.1874999999999998E-3</v>
      </c>
      <c r="G309" s="93">
        <v>44669.504861111112</v>
      </c>
      <c r="H309" s="93">
        <v>44669.506944444445</v>
      </c>
      <c r="I309" s="93">
        <v>44669.395833333336</v>
      </c>
    </row>
    <row r="310" spans="1:9" x14ac:dyDescent="0.25">
      <c r="A310" s="69">
        <v>277</v>
      </c>
      <c r="B310" s="94" t="s">
        <v>357</v>
      </c>
      <c r="C310" s="90">
        <v>53112437</v>
      </c>
      <c r="D310" s="90">
        <v>53112413</v>
      </c>
      <c r="E310" s="90" t="s">
        <v>108</v>
      </c>
      <c r="F310" s="92">
        <v>1.8171296296296297E-3</v>
      </c>
      <c r="G310" s="93">
        <v>44669.504861111112</v>
      </c>
      <c r="H310" s="93">
        <v>44669.506249999999</v>
      </c>
      <c r="I310" s="93">
        <v>44669.395833333336</v>
      </c>
    </row>
    <row r="311" spans="1:9" x14ac:dyDescent="0.25">
      <c r="A311" s="70">
        <v>278</v>
      </c>
      <c r="B311" s="94" t="s">
        <v>367</v>
      </c>
      <c r="C311" s="90">
        <v>53112415</v>
      </c>
      <c r="D311" s="90">
        <v>53112413</v>
      </c>
      <c r="E311" s="90" t="s">
        <v>108</v>
      </c>
      <c r="F311" s="92">
        <v>7.0601851851851847E-4</v>
      </c>
      <c r="G311" s="93">
        <v>44669.504861111112</v>
      </c>
      <c r="H311" s="93">
        <v>44669.505555555559</v>
      </c>
      <c r="I311" s="93">
        <v>44669.395833333336</v>
      </c>
    </row>
    <row r="312" spans="1:9" x14ac:dyDescent="0.25">
      <c r="A312" s="69">
        <v>279</v>
      </c>
      <c r="B312" s="94" t="s">
        <v>359</v>
      </c>
      <c r="C312" s="90">
        <v>53112432</v>
      </c>
      <c r="D312" s="90">
        <v>53112413</v>
      </c>
      <c r="E312" s="90" t="s">
        <v>108</v>
      </c>
      <c r="F312" s="92">
        <v>1.1458333333333333E-3</v>
      </c>
      <c r="G312" s="93">
        <v>44669.50277777778</v>
      </c>
      <c r="H312" s="93">
        <v>44669.504166666666</v>
      </c>
      <c r="I312" s="93">
        <v>44669.395833333336</v>
      </c>
    </row>
    <row r="313" spans="1:9" x14ac:dyDescent="0.25">
      <c r="A313" s="70">
        <v>280</v>
      </c>
      <c r="B313" s="89" t="s">
        <v>343</v>
      </c>
      <c r="C313" s="90">
        <v>53112384</v>
      </c>
      <c r="D313" s="90">
        <v>53111323</v>
      </c>
      <c r="E313" s="90" t="s">
        <v>170</v>
      </c>
      <c r="F313" s="92">
        <v>0</v>
      </c>
      <c r="G313" s="91"/>
      <c r="H313" s="93">
        <v>44669.522916666669</v>
      </c>
      <c r="I313" s="93">
        <v>44669.395833333336</v>
      </c>
    </row>
    <row r="314" spans="1:9" x14ac:dyDescent="0.25">
      <c r="A314" s="69">
        <v>281</v>
      </c>
      <c r="B314" s="89" t="s">
        <v>88</v>
      </c>
      <c r="C314" s="90">
        <v>53112440</v>
      </c>
      <c r="D314" s="90">
        <v>53111323</v>
      </c>
      <c r="E314" s="90" t="s">
        <v>108</v>
      </c>
      <c r="F314" s="92">
        <v>7.1643518518518514E-3</v>
      </c>
      <c r="G314" s="93">
        <v>44669.580555555556</v>
      </c>
      <c r="H314" s="93">
        <v>44669.587500000001</v>
      </c>
      <c r="I314" s="93">
        <v>44669.395833333336</v>
      </c>
    </row>
    <row r="315" spans="1:9" x14ac:dyDescent="0.25">
      <c r="A315" s="70">
        <v>282</v>
      </c>
      <c r="B315" s="89" t="s">
        <v>368</v>
      </c>
      <c r="C315" s="90">
        <v>53112453</v>
      </c>
      <c r="D315" s="90">
        <v>53111323</v>
      </c>
      <c r="E315" s="90" t="s">
        <v>108</v>
      </c>
      <c r="F315" s="92">
        <v>8.7847222222222233E-3</v>
      </c>
      <c r="G315" s="93">
        <v>44669.522222222222</v>
      </c>
      <c r="H315" s="93">
        <v>44669.53125</v>
      </c>
      <c r="I315" s="93">
        <v>44669.395833333336</v>
      </c>
    </row>
    <row r="316" spans="1:9" x14ac:dyDescent="0.25">
      <c r="A316" s="69">
        <v>283</v>
      </c>
      <c r="B316" s="94" t="s">
        <v>369</v>
      </c>
      <c r="C316" s="90">
        <v>53112457</v>
      </c>
      <c r="D316" s="90">
        <v>53112453</v>
      </c>
      <c r="E316" s="90" t="s">
        <v>111</v>
      </c>
      <c r="F316" s="92">
        <v>0</v>
      </c>
      <c r="G316" s="91"/>
      <c r="H316" s="93">
        <v>44669.395833333336</v>
      </c>
      <c r="I316" s="93">
        <v>44669.395833333336</v>
      </c>
    </row>
    <row r="317" spans="1:9" x14ac:dyDescent="0.25">
      <c r="A317" s="70">
        <v>284</v>
      </c>
      <c r="B317" s="94" t="s">
        <v>374</v>
      </c>
      <c r="C317" s="90">
        <v>53112456</v>
      </c>
      <c r="D317" s="90">
        <v>53112453</v>
      </c>
      <c r="E317" s="90" t="s">
        <v>108</v>
      </c>
      <c r="F317" s="92">
        <v>5.3240740740740744E-4</v>
      </c>
      <c r="G317" s="93">
        <v>44669.522916666669</v>
      </c>
      <c r="H317" s="93">
        <v>44669.522916666669</v>
      </c>
      <c r="I317" s="93">
        <v>44669.395833333336</v>
      </c>
    </row>
    <row r="318" spans="1:9" x14ac:dyDescent="0.25">
      <c r="A318" s="69">
        <v>285</v>
      </c>
      <c r="B318" s="94" t="s">
        <v>373</v>
      </c>
      <c r="C318" s="90">
        <v>53112454</v>
      </c>
      <c r="D318" s="90">
        <v>53112453</v>
      </c>
      <c r="E318" s="90" t="s">
        <v>108</v>
      </c>
      <c r="F318" s="92">
        <v>8.773148148148148E-3</v>
      </c>
      <c r="G318" s="93">
        <v>44669.522916666669</v>
      </c>
      <c r="H318" s="93">
        <v>44669.53125</v>
      </c>
      <c r="I318" s="93">
        <v>44669.395833333336</v>
      </c>
    </row>
    <row r="319" spans="1:9" x14ac:dyDescent="0.25">
      <c r="A319" s="70">
        <v>286</v>
      </c>
      <c r="B319" s="94" t="s">
        <v>372</v>
      </c>
      <c r="C319" s="90">
        <v>53112458</v>
      </c>
      <c r="D319" s="90">
        <v>53112453</v>
      </c>
      <c r="E319" s="90" t="s">
        <v>108</v>
      </c>
      <c r="F319" s="92">
        <v>5.7870370370370366E-5</v>
      </c>
      <c r="G319" s="93">
        <v>44669.522916666669</v>
      </c>
      <c r="H319" s="93">
        <v>44669.522916666669</v>
      </c>
      <c r="I319" s="93">
        <v>44669.395833333336</v>
      </c>
    </row>
    <row r="320" spans="1:9" x14ac:dyDescent="0.25">
      <c r="A320" s="69">
        <v>287</v>
      </c>
      <c r="B320" s="94" t="s">
        <v>371</v>
      </c>
      <c r="C320" s="90">
        <v>53112459</v>
      </c>
      <c r="D320" s="90">
        <v>53112453</v>
      </c>
      <c r="E320" s="90" t="s">
        <v>108</v>
      </c>
      <c r="F320" s="92">
        <v>7.291666666666667E-4</v>
      </c>
      <c r="G320" s="93">
        <v>44669.522916666669</v>
      </c>
      <c r="H320" s="93">
        <v>44669.523611111108</v>
      </c>
      <c r="I320" s="93">
        <v>44669.395833333336</v>
      </c>
    </row>
    <row r="321" spans="1:9" x14ac:dyDescent="0.25">
      <c r="A321" s="70">
        <v>288</v>
      </c>
      <c r="B321" s="94" t="s">
        <v>370</v>
      </c>
      <c r="C321" s="90">
        <v>53112455</v>
      </c>
      <c r="D321" s="90">
        <v>53112453</v>
      </c>
      <c r="E321" s="90" t="s">
        <v>108</v>
      </c>
      <c r="F321" s="92">
        <v>5.7870370370370366E-5</v>
      </c>
      <c r="G321" s="93">
        <v>44669.522916666669</v>
      </c>
      <c r="H321" s="93">
        <v>44669.522916666669</v>
      </c>
      <c r="I321" s="93">
        <v>44669.395833333336</v>
      </c>
    </row>
    <row r="322" spans="1:9" x14ac:dyDescent="0.25">
      <c r="A322" s="69">
        <v>289</v>
      </c>
      <c r="B322" s="89" t="s">
        <v>89</v>
      </c>
      <c r="C322" s="90">
        <v>53112460</v>
      </c>
      <c r="D322" s="90">
        <v>53111323</v>
      </c>
      <c r="E322" s="90" t="s">
        <v>108</v>
      </c>
      <c r="F322" s="92">
        <v>2.3067129629629632E-2</v>
      </c>
      <c r="G322" s="93">
        <v>44669.50277777778</v>
      </c>
      <c r="H322" s="93">
        <v>44669.525694444441</v>
      </c>
      <c r="I322" s="93">
        <v>44669.395833333336</v>
      </c>
    </row>
    <row r="323" spans="1:9" x14ac:dyDescent="0.25">
      <c r="A323" s="70">
        <v>290</v>
      </c>
      <c r="B323" s="94" t="s">
        <v>375</v>
      </c>
      <c r="C323" s="90">
        <v>53112465</v>
      </c>
      <c r="D323" s="90">
        <v>53112460</v>
      </c>
      <c r="E323" s="90" t="s">
        <v>108</v>
      </c>
      <c r="F323" s="92">
        <v>1.5046296296296297E-4</v>
      </c>
      <c r="G323" s="93">
        <v>44669.525694444441</v>
      </c>
      <c r="H323" s="93">
        <v>44669.525694444441</v>
      </c>
      <c r="I323" s="93">
        <v>44669.395833333336</v>
      </c>
    </row>
    <row r="324" spans="1:9" x14ac:dyDescent="0.25">
      <c r="A324" s="69">
        <v>291</v>
      </c>
      <c r="B324" s="94" t="s">
        <v>376</v>
      </c>
      <c r="C324" s="90">
        <v>53112464</v>
      </c>
      <c r="D324" s="90">
        <v>53112460</v>
      </c>
      <c r="E324" s="90" t="s">
        <v>108</v>
      </c>
      <c r="F324" s="92">
        <v>2.615740740740741E-3</v>
      </c>
      <c r="G324" s="93">
        <v>44669.522916666669</v>
      </c>
      <c r="H324" s="93">
        <v>44669.525694444441</v>
      </c>
      <c r="I324" s="93">
        <v>44669.395833333336</v>
      </c>
    </row>
    <row r="325" spans="1:9" x14ac:dyDescent="0.25">
      <c r="A325" s="70">
        <v>292</v>
      </c>
      <c r="B325" s="94" t="s">
        <v>377</v>
      </c>
      <c r="C325" s="90">
        <v>53112463</v>
      </c>
      <c r="D325" s="90">
        <v>53112460</v>
      </c>
      <c r="E325" s="90" t="s">
        <v>108</v>
      </c>
      <c r="F325" s="92">
        <v>6.9444444444444444E-5</v>
      </c>
      <c r="G325" s="93">
        <v>44669.522916666669</v>
      </c>
      <c r="H325" s="93">
        <v>44669.522916666669</v>
      </c>
      <c r="I325" s="93">
        <v>44669.395833333336</v>
      </c>
    </row>
    <row r="326" spans="1:9" x14ac:dyDescent="0.25">
      <c r="A326" s="69">
        <v>293</v>
      </c>
      <c r="B326" s="94" t="s">
        <v>378</v>
      </c>
      <c r="C326" s="90">
        <v>53112461</v>
      </c>
      <c r="D326" s="90">
        <v>53112460</v>
      </c>
      <c r="E326" s="90" t="s">
        <v>108</v>
      </c>
      <c r="F326" s="92">
        <v>1.0416666666666667E-3</v>
      </c>
      <c r="G326" s="93">
        <v>44669.522222222222</v>
      </c>
      <c r="H326" s="93">
        <v>44669.522916666669</v>
      </c>
      <c r="I326" s="93">
        <v>44669.395833333336</v>
      </c>
    </row>
    <row r="327" spans="1:9" x14ac:dyDescent="0.25">
      <c r="A327" s="70">
        <v>294</v>
      </c>
      <c r="B327" s="94" t="s">
        <v>379</v>
      </c>
      <c r="C327" s="90">
        <v>53112462</v>
      </c>
      <c r="D327" s="90">
        <v>53112460</v>
      </c>
      <c r="E327" s="90" t="s">
        <v>108</v>
      </c>
      <c r="F327" s="92">
        <v>7.0601851851851847E-4</v>
      </c>
      <c r="G327" s="93">
        <v>44669.505555555559</v>
      </c>
      <c r="H327" s="93">
        <v>44669.506249999999</v>
      </c>
      <c r="I327" s="93">
        <v>44669.395833333336</v>
      </c>
    </row>
    <row r="328" spans="1:9" x14ac:dyDescent="0.25">
      <c r="A328" s="69">
        <v>295</v>
      </c>
      <c r="B328" s="89" t="s">
        <v>94</v>
      </c>
      <c r="C328" s="90">
        <v>53112475</v>
      </c>
      <c r="D328" s="90">
        <v>53111323</v>
      </c>
      <c r="E328" s="90" t="s">
        <v>108</v>
      </c>
      <c r="F328" s="92">
        <v>6.8055555555555569E-3</v>
      </c>
      <c r="G328" s="93">
        <v>44669.597222222219</v>
      </c>
      <c r="H328" s="93">
        <v>44669.604166666664</v>
      </c>
      <c r="I328" s="93">
        <v>44669.395833333336</v>
      </c>
    </row>
    <row r="329" spans="1:9" x14ac:dyDescent="0.25">
      <c r="A329" s="70">
        <v>296</v>
      </c>
      <c r="B329" s="89" t="s">
        <v>380</v>
      </c>
      <c r="C329" s="90">
        <v>53112466</v>
      </c>
      <c r="D329" s="90">
        <v>53111323</v>
      </c>
      <c r="E329" s="90" t="s">
        <v>108</v>
      </c>
      <c r="F329" s="92">
        <v>7.291666666666667E-4</v>
      </c>
      <c r="G329" s="93">
        <v>44669.522916666669</v>
      </c>
      <c r="H329" s="93">
        <v>44669.523611111108</v>
      </c>
      <c r="I329" s="93">
        <v>44669.395833333336</v>
      </c>
    </row>
    <row r="330" spans="1:9" x14ac:dyDescent="0.25">
      <c r="A330" s="69">
        <v>297</v>
      </c>
      <c r="B330" s="94" t="s">
        <v>382</v>
      </c>
      <c r="C330" s="90">
        <v>53112470</v>
      </c>
      <c r="D330" s="90">
        <v>53112466</v>
      </c>
      <c r="E330" s="90" t="s">
        <v>187</v>
      </c>
      <c r="F330" s="92">
        <v>0</v>
      </c>
      <c r="G330" s="91"/>
      <c r="H330" s="93">
        <v>44669.522916666669</v>
      </c>
      <c r="I330" s="93">
        <v>44669.395833333336</v>
      </c>
    </row>
    <row r="331" spans="1:9" x14ac:dyDescent="0.25">
      <c r="A331" s="70">
        <v>298</v>
      </c>
      <c r="B331" s="94" t="s">
        <v>383</v>
      </c>
      <c r="C331" s="90">
        <v>53112472</v>
      </c>
      <c r="D331" s="90">
        <v>53112466</v>
      </c>
      <c r="E331" s="90" t="s">
        <v>187</v>
      </c>
      <c r="F331" s="92">
        <v>0</v>
      </c>
      <c r="G331" s="91"/>
      <c r="H331" s="93">
        <v>44669.522916666669</v>
      </c>
      <c r="I331" s="93">
        <v>44669.395833333336</v>
      </c>
    </row>
    <row r="332" spans="1:9" x14ac:dyDescent="0.25">
      <c r="A332" s="69">
        <v>299</v>
      </c>
      <c r="B332" s="94" t="s">
        <v>381</v>
      </c>
      <c r="C332" s="90">
        <v>53112474</v>
      </c>
      <c r="D332" s="90">
        <v>53112466</v>
      </c>
      <c r="E332" s="90" t="s">
        <v>111</v>
      </c>
      <c r="F332" s="92">
        <v>0</v>
      </c>
      <c r="G332" s="91"/>
      <c r="H332" s="93">
        <v>44669.395833333336</v>
      </c>
      <c r="I332" s="93">
        <v>44669.395833333336</v>
      </c>
    </row>
    <row r="333" spans="1:9" x14ac:dyDescent="0.25">
      <c r="A333" s="70">
        <v>300</v>
      </c>
      <c r="B333" s="94" t="s">
        <v>384</v>
      </c>
      <c r="C333" s="90">
        <v>53112469</v>
      </c>
      <c r="D333" s="90">
        <v>53112466</v>
      </c>
      <c r="E333" s="90" t="s">
        <v>108</v>
      </c>
      <c r="F333" s="92">
        <v>3.5879629629629635E-4</v>
      </c>
      <c r="G333" s="93">
        <v>44669.522916666669</v>
      </c>
      <c r="H333" s="93">
        <v>44669.523611111108</v>
      </c>
      <c r="I333" s="93">
        <v>44669.395833333336</v>
      </c>
    </row>
    <row r="334" spans="1:9" x14ac:dyDescent="0.25">
      <c r="A334" s="69">
        <v>301</v>
      </c>
      <c r="B334" s="94" t="s">
        <v>386</v>
      </c>
      <c r="C334" s="90">
        <v>53112473</v>
      </c>
      <c r="D334" s="90">
        <v>53112466</v>
      </c>
      <c r="E334" s="90" t="s">
        <v>108</v>
      </c>
      <c r="F334" s="92">
        <v>6.9444444444444447E-4</v>
      </c>
      <c r="G334" s="93">
        <v>44669.522916666669</v>
      </c>
      <c r="H334" s="93">
        <v>44669.523611111108</v>
      </c>
      <c r="I334" s="93">
        <v>44669.395833333336</v>
      </c>
    </row>
    <row r="335" spans="1:9" x14ac:dyDescent="0.25">
      <c r="A335" s="70">
        <v>302</v>
      </c>
      <c r="B335" s="94" t="s">
        <v>385</v>
      </c>
      <c r="C335" s="90">
        <v>53112468</v>
      </c>
      <c r="D335" s="90">
        <v>53112466</v>
      </c>
      <c r="E335" s="90" t="s">
        <v>108</v>
      </c>
      <c r="F335" s="92">
        <v>3.4722222222222224E-4</v>
      </c>
      <c r="G335" s="93">
        <v>44669.522916666669</v>
      </c>
      <c r="H335" s="93">
        <v>44669.522916666669</v>
      </c>
      <c r="I335" s="93">
        <v>44669.395833333336</v>
      </c>
    </row>
    <row r="336" spans="1:9" x14ac:dyDescent="0.25">
      <c r="A336" s="69">
        <v>303</v>
      </c>
      <c r="B336" s="94" t="s">
        <v>388</v>
      </c>
      <c r="C336" s="90">
        <v>53112471</v>
      </c>
      <c r="D336" s="90">
        <v>53112466</v>
      </c>
      <c r="E336" s="90" t="s">
        <v>108</v>
      </c>
      <c r="F336" s="92">
        <v>2.3148148148148147E-5</v>
      </c>
      <c r="G336" s="93">
        <v>44669.522916666669</v>
      </c>
      <c r="H336" s="93">
        <v>44669.522916666669</v>
      </c>
      <c r="I336" s="93">
        <v>44669.395833333336</v>
      </c>
    </row>
    <row r="337" spans="1:9" x14ac:dyDescent="0.25">
      <c r="A337" s="70">
        <v>304</v>
      </c>
      <c r="B337" s="94" t="s">
        <v>387</v>
      </c>
      <c r="C337" s="90">
        <v>53112467</v>
      </c>
      <c r="D337" s="90">
        <v>53112466</v>
      </c>
      <c r="E337" s="90" t="s">
        <v>108</v>
      </c>
      <c r="F337" s="92">
        <v>1.1574074074074073E-5</v>
      </c>
      <c r="G337" s="93">
        <v>44669.522916666669</v>
      </c>
      <c r="H337" s="93">
        <v>44669.522916666669</v>
      </c>
      <c r="I337" s="93">
        <v>44669.395833333336</v>
      </c>
    </row>
    <row r="338" spans="1:9" x14ac:dyDescent="0.25">
      <c r="A338" s="69">
        <v>305</v>
      </c>
      <c r="B338" s="89" t="s">
        <v>96</v>
      </c>
      <c r="C338" s="90">
        <v>53111359</v>
      </c>
      <c r="D338" s="90">
        <v>53111323</v>
      </c>
      <c r="E338" s="90" t="s">
        <v>108</v>
      </c>
      <c r="F338" s="92">
        <v>5.6944444444444443E-2</v>
      </c>
      <c r="G338" s="93">
        <v>44669.604166666664</v>
      </c>
      <c r="H338" s="93">
        <v>44669.661111111112</v>
      </c>
      <c r="I338" s="93">
        <v>44669.395833333336</v>
      </c>
    </row>
    <row r="339" spans="1:9" x14ac:dyDescent="0.25">
      <c r="A339" s="70">
        <v>306</v>
      </c>
      <c r="B339" s="94" t="s">
        <v>394</v>
      </c>
      <c r="C339" s="90">
        <v>53115320</v>
      </c>
      <c r="D339" s="90">
        <v>53111359</v>
      </c>
      <c r="E339" s="90" t="s">
        <v>108</v>
      </c>
      <c r="F339" s="92">
        <v>1.1574074074074073E-5</v>
      </c>
      <c r="G339" s="93">
        <v>44669.661111111112</v>
      </c>
      <c r="H339" s="93">
        <v>44669.661111111112</v>
      </c>
      <c r="I339" s="93">
        <v>44669.604166666664</v>
      </c>
    </row>
    <row r="340" spans="1:9" x14ac:dyDescent="0.25">
      <c r="A340" s="69">
        <v>307</v>
      </c>
      <c r="B340" s="94" t="s">
        <v>395</v>
      </c>
      <c r="C340" s="90">
        <v>53115319</v>
      </c>
      <c r="D340" s="90">
        <v>53111359</v>
      </c>
      <c r="E340" s="90" t="s">
        <v>108</v>
      </c>
      <c r="F340" s="92">
        <v>6.9444444444444447E-4</v>
      </c>
      <c r="G340" s="93">
        <v>44669.660416666666</v>
      </c>
      <c r="H340" s="93">
        <v>44669.661111111112</v>
      </c>
      <c r="I340" s="93">
        <v>44669.604166666664</v>
      </c>
    </row>
    <row r="341" spans="1:9" x14ac:dyDescent="0.25">
      <c r="A341" s="70">
        <v>308</v>
      </c>
      <c r="B341" s="94" t="s">
        <v>396</v>
      </c>
      <c r="C341" s="90">
        <v>53115318</v>
      </c>
      <c r="D341" s="90">
        <v>53111359</v>
      </c>
      <c r="E341" s="90" t="s">
        <v>108</v>
      </c>
      <c r="F341" s="92">
        <v>8.113425925925925E-3</v>
      </c>
      <c r="G341" s="93">
        <v>44669.652083333334</v>
      </c>
      <c r="H341" s="93">
        <v>44669.660416666666</v>
      </c>
      <c r="I341" s="93">
        <v>44669.604166666664</v>
      </c>
    </row>
    <row r="342" spans="1:9" x14ac:dyDescent="0.25">
      <c r="A342" s="69">
        <v>309</v>
      </c>
      <c r="B342" s="94" t="s">
        <v>397</v>
      </c>
      <c r="C342" s="90">
        <v>53115317</v>
      </c>
      <c r="D342" s="90">
        <v>53111359</v>
      </c>
      <c r="E342" s="90" t="s">
        <v>108</v>
      </c>
      <c r="F342" s="92">
        <v>9.2592592592592588E-5</v>
      </c>
      <c r="G342" s="93">
        <v>44669.652083333334</v>
      </c>
      <c r="H342" s="93">
        <v>44669.652083333334</v>
      </c>
      <c r="I342" s="93">
        <v>44669.604166666664</v>
      </c>
    </row>
    <row r="343" spans="1:9" x14ac:dyDescent="0.25">
      <c r="A343" s="70">
        <v>310</v>
      </c>
      <c r="B343" s="94" t="s">
        <v>398</v>
      </c>
      <c r="C343" s="90">
        <v>53110907</v>
      </c>
      <c r="D343" s="90">
        <v>53111359</v>
      </c>
      <c r="E343" s="90" t="s">
        <v>108</v>
      </c>
      <c r="F343" s="92">
        <v>4.7222222222222221E-2</v>
      </c>
      <c r="G343" s="93">
        <v>44669.604861111111</v>
      </c>
      <c r="H343" s="93">
        <v>44669.652083333334</v>
      </c>
      <c r="I343" s="93">
        <v>44669.604166666664</v>
      </c>
    </row>
    <row r="344" spans="1:9" x14ac:dyDescent="0.25">
      <c r="A344" s="69">
        <v>311</v>
      </c>
      <c r="B344" s="94" t="s">
        <v>399</v>
      </c>
      <c r="C344" s="90">
        <v>53110906</v>
      </c>
      <c r="D344" s="90">
        <v>53111359</v>
      </c>
      <c r="E344" s="90" t="s">
        <v>108</v>
      </c>
      <c r="F344" s="92">
        <v>0</v>
      </c>
      <c r="G344" s="93">
        <v>44669.604861111111</v>
      </c>
      <c r="H344" s="93">
        <v>44669.604861111111</v>
      </c>
      <c r="I344" s="93">
        <v>44669.604166666664</v>
      </c>
    </row>
    <row r="345" spans="1:9" x14ac:dyDescent="0.25">
      <c r="A345" s="70">
        <v>312</v>
      </c>
      <c r="B345" s="94" t="s">
        <v>400</v>
      </c>
      <c r="C345" s="90">
        <v>53112808</v>
      </c>
      <c r="D345" s="90">
        <v>53111359</v>
      </c>
      <c r="E345" s="90" t="s">
        <v>108</v>
      </c>
      <c r="F345" s="92">
        <v>0</v>
      </c>
      <c r="G345" s="93">
        <v>44669.604166666664</v>
      </c>
      <c r="H345" s="93">
        <v>44669.604166666664</v>
      </c>
      <c r="I345" s="93">
        <v>44669.604166666664</v>
      </c>
    </row>
    <row r="346" spans="1:9" x14ac:dyDescent="0.25">
      <c r="A346" s="69">
        <v>313</v>
      </c>
      <c r="B346" s="89" t="s">
        <v>393</v>
      </c>
      <c r="C346" s="90">
        <v>53111360</v>
      </c>
      <c r="D346" s="90">
        <v>53111323</v>
      </c>
      <c r="E346" s="90" t="s">
        <v>108</v>
      </c>
      <c r="F346" s="92">
        <v>1.1574074074074073E-5</v>
      </c>
      <c r="G346" s="93">
        <v>44669.604166666664</v>
      </c>
      <c r="H346" s="93">
        <v>44669.604166666664</v>
      </c>
      <c r="I346" s="93">
        <v>44669.395833333336</v>
      </c>
    </row>
    <row r="347" spans="1:9" x14ac:dyDescent="0.25">
      <c r="A347" s="70">
        <v>314</v>
      </c>
      <c r="B347" s="89" t="s">
        <v>95</v>
      </c>
      <c r="C347" s="90">
        <v>53111361</v>
      </c>
      <c r="D347" s="90">
        <v>53111323</v>
      </c>
      <c r="E347" s="90" t="s">
        <v>108</v>
      </c>
      <c r="F347" s="92">
        <v>7.6134259259259263E-2</v>
      </c>
      <c r="G347" s="93">
        <v>44669.604166666664</v>
      </c>
      <c r="H347" s="93">
        <v>44669.680555555555</v>
      </c>
      <c r="I347" s="93">
        <v>44669.395833333336</v>
      </c>
    </row>
    <row r="348" spans="1:9" x14ac:dyDescent="0.25">
      <c r="A348" s="69">
        <v>315</v>
      </c>
      <c r="B348" s="94" t="s">
        <v>389</v>
      </c>
      <c r="C348" s="90">
        <v>53111365</v>
      </c>
      <c r="D348" s="90">
        <v>53111361</v>
      </c>
      <c r="E348" s="90" t="s">
        <v>108</v>
      </c>
      <c r="F348" s="92">
        <v>2.6111111111111113E-2</v>
      </c>
      <c r="G348" s="93">
        <v>44669.654166666667</v>
      </c>
      <c r="H348" s="93">
        <v>44669.680555555555</v>
      </c>
      <c r="I348" s="93">
        <v>44669.395833333336</v>
      </c>
    </row>
    <row r="349" spans="1:9" x14ac:dyDescent="0.25">
      <c r="A349" s="70">
        <v>316</v>
      </c>
      <c r="B349" s="94" t="s">
        <v>390</v>
      </c>
      <c r="C349" s="90">
        <v>53111364</v>
      </c>
      <c r="D349" s="90">
        <v>53111361</v>
      </c>
      <c r="E349" s="90" t="s">
        <v>108</v>
      </c>
      <c r="F349" s="92">
        <v>3.4722222222222224E-4</v>
      </c>
      <c r="G349" s="93">
        <v>44669.65347222222</v>
      </c>
      <c r="H349" s="93">
        <v>44669.654166666667</v>
      </c>
      <c r="I349" s="93">
        <v>44669.395833333336</v>
      </c>
    </row>
    <row r="350" spans="1:9" x14ac:dyDescent="0.25">
      <c r="A350" s="69">
        <v>317</v>
      </c>
      <c r="B350" s="94" t="s">
        <v>391</v>
      </c>
      <c r="C350" s="90">
        <v>53111363</v>
      </c>
      <c r="D350" s="90">
        <v>53111361</v>
      </c>
      <c r="E350" s="90" t="s">
        <v>108</v>
      </c>
      <c r="F350" s="92">
        <v>4.9317129629629634E-2</v>
      </c>
      <c r="G350" s="93">
        <v>44669.604166666664</v>
      </c>
      <c r="H350" s="93">
        <v>44669.65347222222</v>
      </c>
      <c r="I350" s="93">
        <v>44669.395833333336</v>
      </c>
    </row>
    <row r="351" spans="1:9" x14ac:dyDescent="0.25">
      <c r="A351" s="70">
        <v>318</v>
      </c>
      <c r="B351" s="94" t="s">
        <v>392</v>
      </c>
      <c r="C351" s="90">
        <v>53111362</v>
      </c>
      <c r="D351" s="90">
        <v>53111361</v>
      </c>
      <c r="E351" s="90" t="s">
        <v>108</v>
      </c>
      <c r="F351" s="92">
        <v>3.4722222222222224E-4</v>
      </c>
      <c r="G351" s="93">
        <v>44669.604166666664</v>
      </c>
      <c r="H351" s="93">
        <v>44669.604166666664</v>
      </c>
      <c r="I351" s="93">
        <v>44669.395833333336</v>
      </c>
    </row>
    <row r="352" spans="1:9" x14ac:dyDescent="0.25">
      <c r="A352" s="69">
        <v>319</v>
      </c>
      <c r="B352" s="89" t="s">
        <v>401</v>
      </c>
      <c r="C352" s="90">
        <v>53111366</v>
      </c>
      <c r="D352" s="90">
        <v>53111323</v>
      </c>
      <c r="E352" s="90" t="s">
        <v>108</v>
      </c>
      <c r="F352" s="92">
        <v>2.3009259259259257E-2</v>
      </c>
      <c r="G352" s="93">
        <v>44669.604166666664</v>
      </c>
      <c r="H352" s="93">
        <v>44669.627083333333</v>
      </c>
      <c r="I352" s="93">
        <v>44669.395833333336</v>
      </c>
    </row>
    <row r="353" spans="1:9" x14ac:dyDescent="0.25">
      <c r="A353" s="70">
        <v>320</v>
      </c>
      <c r="B353" s="89" t="s">
        <v>402</v>
      </c>
      <c r="C353" s="90">
        <v>53114095</v>
      </c>
      <c r="D353" s="91"/>
      <c r="E353" s="90" t="s">
        <v>108</v>
      </c>
      <c r="F353" s="92">
        <v>1.1574074074074073E-5</v>
      </c>
      <c r="G353" s="93">
        <v>44669.395833333336</v>
      </c>
      <c r="H353" s="93">
        <v>44669.395833333336</v>
      </c>
      <c r="I353" s="93">
        <v>44669.395833333336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B536-3FCF-4AE2-AEF3-32880FEC82B8}">
  <dimension ref="A1:N46"/>
  <sheetViews>
    <sheetView tabSelected="1" topLeftCell="A3" zoomScale="55" zoomScaleNormal="55" workbookViewId="0">
      <selection activeCell="N3" sqref="N1:Q1048576"/>
    </sheetView>
  </sheetViews>
  <sheetFormatPr defaultRowHeight="15.75" x14ac:dyDescent="0.25"/>
  <cols>
    <col min="1" max="1" width="7" style="1" customWidth="1"/>
    <col min="2" max="2" width="41.42578125" style="1" customWidth="1"/>
    <col min="3" max="3" width="14.42578125" style="1" customWidth="1"/>
    <col min="4" max="5" width="24.42578125" style="1" customWidth="1"/>
    <col min="6" max="6" width="3.7109375" style="1" customWidth="1"/>
    <col min="7" max="7" width="14.42578125" style="1" customWidth="1"/>
    <col min="8" max="9" width="24.42578125" style="1" customWidth="1"/>
    <col min="10" max="10" width="4.140625" style="1" customWidth="1"/>
    <col min="11" max="11" width="14.42578125" style="1" customWidth="1"/>
    <col min="12" max="13" width="24.42578125" style="1" customWidth="1"/>
    <col min="14" max="14" width="42.85546875" style="1" customWidth="1"/>
  </cols>
  <sheetData>
    <row r="1" spans="1:14" x14ac:dyDescent="0.25">
      <c r="A1" s="18" t="s">
        <v>92</v>
      </c>
      <c r="B1" s="18"/>
      <c r="C1" s="110" t="s">
        <v>432</v>
      </c>
      <c r="D1" s="110"/>
      <c r="E1" s="110"/>
      <c r="F1" s="18"/>
      <c r="G1" s="110" t="s">
        <v>444</v>
      </c>
      <c r="H1" s="110"/>
      <c r="I1" s="110"/>
      <c r="J1" s="18"/>
      <c r="K1" s="110" t="s">
        <v>444</v>
      </c>
      <c r="L1" s="110"/>
      <c r="M1" s="110"/>
      <c r="N1" s="18"/>
    </row>
    <row r="2" spans="1:14" x14ac:dyDescent="0.25">
      <c r="A2" s="10" t="s">
        <v>403</v>
      </c>
      <c r="B2" s="71" t="s">
        <v>404</v>
      </c>
      <c r="C2" s="10" t="s">
        <v>103</v>
      </c>
      <c r="D2" s="10"/>
      <c r="E2" s="10"/>
      <c r="G2" s="10" t="s">
        <v>103</v>
      </c>
      <c r="H2" s="10"/>
      <c r="I2" s="10"/>
      <c r="K2" s="10" t="s">
        <v>103</v>
      </c>
      <c r="L2" s="10"/>
      <c r="M2" s="10"/>
    </row>
    <row r="3" spans="1:14" x14ac:dyDescent="0.25">
      <c r="A3" s="10">
        <v>1</v>
      </c>
      <c r="B3" s="71" t="s">
        <v>405</v>
      </c>
      <c r="C3" s="72">
        <v>7.0949074074074074E-3</v>
      </c>
      <c r="D3" s="10"/>
      <c r="E3" s="10"/>
      <c r="G3" s="72">
        <v>7.4421296296296293E-3</v>
      </c>
      <c r="H3" s="10"/>
      <c r="I3" s="10"/>
      <c r="K3" s="72">
        <v>2.5231481481481481E-3</v>
      </c>
      <c r="L3" s="10"/>
      <c r="M3" s="10"/>
    </row>
    <row r="4" spans="1:14" x14ac:dyDescent="0.25">
      <c r="A4" s="10">
        <v>2</v>
      </c>
      <c r="B4" s="78" t="s">
        <v>406</v>
      </c>
      <c r="C4" s="72">
        <v>5.8159722222222217E-2</v>
      </c>
      <c r="D4" s="10"/>
      <c r="E4" s="10"/>
      <c r="G4" s="72">
        <v>5.1319444444444445E-2</v>
      </c>
      <c r="H4" s="10"/>
      <c r="I4" s="10"/>
      <c r="K4" s="72">
        <v>5.6388888888888884E-2</v>
      </c>
      <c r="L4" s="10"/>
      <c r="M4" s="10"/>
    </row>
    <row r="5" spans="1:14" x14ac:dyDescent="0.25">
      <c r="A5" s="10">
        <v>3</v>
      </c>
      <c r="B5" s="78" t="s">
        <v>407</v>
      </c>
      <c r="C5" s="72">
        <v>2.9085648148148149E-2</v>
      </c>
      <c r="D5" s="10"/>
      <c r="E5" s="10"/>
      <c r="G5" s="72">
        <v>2.49537037037037E-2</v>
      </c>
      <c r="H5" s="10"/>
      <c r="I5" s="10"/>
      <c r="K5" s="72">
        <v>2.5185185185185185E-2</v>
      </c>
      <c r="L5" s="10"/>
      <c r="M5" s="10"/>
    </row>
    <row r="6" spans="1:14" x14ac:dyDescent="0.25">
      <c r="A6" s="10">
        <v>4</v>
      </c>
      <c r="B6" s="78" t="s">
        <v>408</v>
      </c>
      <c r="C6" s="72">
        <v>4.9328703703703701E-2</v>
      </c>
      <c r="D6" s="10"/>
      <c r="E6" s="10"/>
      <c r="G6" s="72">
        <v>4.912037037037037E-2</v>
      </c>
      <c r="H6" s="10"/>
      <c r="I6" s="10"/>
      <c r="K6" s="72">
        <v>4.9456018518518517E-2</v>
      </c>
      <c r="L6" s="10"/>
      <c r="M6" s="10"/>
    </row>
    <row r="7" spans="1:14" x14ac:dyDescent="0.25">
      <c r="A7" s="10" t="s">
        <v>97</v>
      </c>
      <c r="B7" s="78" t="s">
        <v>409</v>
      </c>
      <c r="C7" s="72">
        <v>4.3645833333333335E-2</v>
      </c>
      <c r="D7" s="10"/>
      <c r="E7" s="10"/>
      <c r="G7" s="72">
        <v>4.372685185185185E-2</v>
      </c>
      <c r="H7" s="10"/>
      <c r="I7" s="10"/>
      <c r="K7" s="72">
        <v>4.2916666666666665E-2</v>
      </c>
      <c r="L7" s="10"/>
      <c r="M7" s="10"/>
    </row>
    <row r="8" spans="1:14" x14ac:dyDescent="0.25">
      <c r="A8" s="10">
        <v>6</v>
      </c>
      <c r="B8" s="78" t="s">
        <v>410</v>
      </c>
      <c r="C8" s="72">
        <v>4.9409722222222223E-2</v>
      </c>
      <c r="D8" s="10"/>
      <c r="E8" s="10"/>
      <c r="G8" s="72">
        <v>4.8587962962962965E-2</v>
      </c>
      <c r="H8" s="10"/>
      <c r="I8" s="10"/>
      <c r="K8" s="72">
        <v>4.8518518518518516E-2</v>
      </c>
      <c r="L8" s="10"/>
      <c r="M8" s="10"/>
    </row>
    <row r="9" spans="1:14" x14ac:dyDescent="0.25">
      <c r="A9" s="10"/>
      <c r="B9" s="71"/>
      <c r="C9" s="111">
        <v>42430</v>
      </c>
      <c r="D9" s="112"/>
      <c r="E9" s="113"/>
      <c r="G9" s="111">
        <v>45717</v>
      </c>
      <c r="H9" s="112"/>
      <c r="I9" s="113"/>
      <c r="K9" s="111">
        <v>43191</v>
      </c>
      <c r="L9" s="112"/>
      <c r="M9" s="113"/>
    </row>
    <row r="10" spans="1:14" x14ac:dyDescent="0.25">
      <c r="A10" s="10"/>
      <c r="B10" s="71" t="s">
        <v>411</v>
      </c>
      <c r="C10" s="72">
        <v>2.7962962962962964E-2</v>
      </c>
      <c r="D10" s="72"/>
      <c r="E10" s="72"/>
      <c r="G10" s="72">
        <v>3.2893518518518523E-2</v>
      </c>
      <c r="H10" s="72"/>
      <c r="I10" s="72"/>
      <c r="K10" s="72">
        <v>3.1412037037037037E-2</v>
      </c>
      <c r="L10" s="72"/>
      <c r="M10" s="72"/>
    </row>
    <row r="11" spans="1:14" x14ac:dyDescent="0.25">
      <c r="A11" s="10"/>
      <c r="B11" s="71" t="s">
        <v>412</v>
      </c>
      <c r="C11" s="72">
        <v>1.3969907407407408E-2</v>
      </c>
      <c r="D11" s="72"/>
      <c r="E11" s="72"/>
      <c r="G11" s="72">
        <v>1.6574074074074074E-2</v>
      </c>
      <c r="H11" s="72"/>
      <c r="I11" s="72"/>
      <c r="K11" s="72">
        <v>1.7141203703703704E-2</v>
      </c>
      <c r="L11" s="72"/>
      <c r="M11" s="72"/>
    </row>
    <row r="12" spans="1:14" x14ac:dyDescent="0.25">
      <c r="A12" s="10"/>
      <c r="B12" s="71" t="s">
        <v>413</v>
      </c>
      <c r="C12" s="72">
        <v>2.4328703703703703E-2</v>
      </c>
      <c r="D12" s="72"/>
      <c r="E12" s="72"/>
      <c r="G12" s="72">
        <v>3.1226851851851853E-2</v>
      </c>
      <c r="H12" s="72"/>
      <c r="I12" s="72"/>
      <c r="K12" s="72">
        <v>2.6504629629629628E-2</v>
      </c>
      <c r="L12" s="72"/>
      <c r="M12" s="72"/>
    </row>
    <row r="13" spans="1:14" x14ac:dyDescent="0.25">
      <c r="A13" s="10"/>
      <c r="B13" s="71" t="s">
        <v>414</v>
      </c>
      <c r="C13" s="72">
        <v>2.900462962962963E-2</v>
      </c>
      <c r="D13" s="72"/>
      <c r="E13" s="72"/>
      <c r="G13" s="72">
        <v>2.5138888888888891E-2</v>
      </c>
      <c r="H13" s="72"/>
      <c r="I13" s="72"/>
      <c r="K13" s="72">
        <v>2.4120370370370372E-2</v>
      </c>
      <c r="L13" s="72"/>
      <c r="M13" s="72"/>
    </row>
    <row r="14" spans="1:14" x14ac:dyDescent="0.25">
      <c r="A14" s="10"/>
      <c r="B14" s="71" t="s">
        <v>415</v>
      </c>
      <c r="C14" s="72">
        <v>9.5370370370370366E-3</v>
      </c>
      <c r="D14" s="72"/>
      <c r="E14" s="72"/>
      <c r="G14" s="72">
        <v>6.7129629629629622E-3</v>
      </c>
      <c r="H14" s="72"/>
      <c r="I14" s="72"/>
      <c r="K14" s="72">
        <v>6.7361111111111103E-3</v>
      </c>
      <c r="L14" s="72"/>
      <c r="M14" s="72"/>
    </row>
    <row r="15" spans="1:14" x14ac:dyDescent="0.25">
      <c r="A15" s="10"/>
      <c r="B15" s="71" t="s">
        <v>416</v>
      </c>
      <c r="C15" s="72">
        <v>2.0613425925925927E-2</v>
      </c>
      <c r="D15" s="72"/>
      <c r="E15" s="72"/>
      <c r="G15" s="72">
        <v>1.7118055555555556E-2</v>
      </c>
      <c r="H15" s="72"/>
      <c r="I15" s="72"/>
      <c r="K15" s="72">
        <v>1.7557870370370373E-2</v>
      </c>
      <c r="L15" s="72"/>
      <c r="M15" s="72"/>
    </row>
    <row r="16" spans="1:14" x14ac:dyDescent="0.25">
      <c r="A16" s="10"/>
      <c r="B16" s="71" t="s">
        <v>417</v>
      </c>
      <c r="C16" s="72">
        <v>3.5462962962962967E-2</v>
      </c>
      <c r="D16" s="72"/>
      <c r="E16" s="72"/>
      <c r="G16" s="72">
        <v>3.1805555555555552E-2</v>
      </c>
      <c r="H16" s="72"/>
      <c r="I16" s="72"/>
      <c r="K16" s="72">
        <v>2.6087962962962966E-2</v>
      </c>
      <c r="L16" s="72"/>
      <c r="M16" s="72"/>
    </row>
    <row r="17" spans="1:14" x14ac:dyDescent="0.25">
      <c r="A17" s="10"/>
      <c r="B17" s="71" t="s">
        <v>418</v>
      </c>
      <c r="C17" s="72">
        <v>2.4432870370370369E-2</v>
      </c>
      <c r="D17" s="72"/>
      <c r="E17" s="72"/>
      <c r="G17" s="72">
        <v>2.0659722222222222E-2</v>
      </c>
      <c r="H17" s="72"/>
      <c r="I17" s="72"/>
      <c r="K17" s="72">
        <v>1.9537037037037037E-2</v>
      </c>
      <c r="L17" s="72"/>
      <c r="M17" s="72"/>
    </row>
    <row r="18" spans="1:14" x14ac:dyDescent="0.25">
      <c r="A18" s="10"/>
      <c r="B18" s="71" t="s">
        <v>419</v>
      </c>
      <c r="C18" s="72">
        <v>4.4560185185185189E-3</v>
      </c>
      <c r="D18" s="72"/>
      <c r="E18" s="72"/>
      <c r="G18" s="72">
        <v>3.9699074074074072E-3</v>
      </c>
      <c r="H18" s="72"/>
      <c r="I18" s="72"/>
      <c r="K18" s="72">
        <v>6.4004629629629628E-3</v>
      </c>
      <c r="L18" s="72"/>
      <c r="M18" s="72"/>
    </row>
    <row r="19" spans="1:14" x14ac:dyDescent="0.25">
      <c r="A19" s="10" t="s">
        <v>403</v>
      </c>
      <c r="B19" s="71" t="s">
        <v>98</v>
      </c>
      <c r="C19" s="10" t="s">
        <v>103</v>
      </c>
      <c r="D19" s="10" t="s">
        <v>104</v>
      </c>
      <c r="E19" s="10" t="s">
        <v>420</v>
      </c>
      <c r="G19" s="10" t="s">
        <v>103</v>
      </c>
      <c r="H19" s="10" t="s">
        <v>104</v>
      </c>
      <c r="I19" s="10" t="s">
        <v>420</v>
      </c>
      <c r="K19" s="10" t="s">
        <v>103</v>
      </c>
      <c r="L19" s="10" t="s">
        <v>104</v>
      </c>
      <c r="M19" s="10" t="s">
        <v>420</v>
      </c>
    </row>
    <row r="20" spans="1:14" x14ac:dyDescent="0.25">
      <c r="A20" s="10">
        <v>1</v>
      </c>
      <c r="B20" s="62" t="s">
        <v>68</v>
      </c>
      <c r="C20" s="73">
        <v>0.3555555555576575</v>
      </c>
      <c r="D20" s="74">
        <v>44636.416666666672</v>
      </c>
      <c r="E20" s="75">
        <v>44636.772222222229</v>
      </c>
      <c r="G20" s="73">
        <v>0.34444444443943212</v>
      </c>
      <c r="H20" s="74">
        <v>44645.416666666672</v>
      </c>
      <c r="I20" s="75">
        <v>44645.761111111111</v>
      </c>
      <c r="K20" s="73">
        <v>0.34999999999126885</v>
      </c>
      <c r="L20" s="74">
        <v>44669.416666666672</v>
      </c>
      <c r="M20" s="75">
        <v>44669.766666666663</v>
      </c>
    </row>
    <row r="21" spans="1:14" x14ac:dyDescent="0.25">
      <c r="A21" s="10">
        <v>2</v>
      </c>
      <c r="B21" s="62" t="s">
        <v>69</v>
      </c>
      <c r="C21" s="73">
        <v>6.0127314814814814E-2</v>
      </c>
      <c r="D21" s="74">
        <v>44636.416666666672</v>
      </c>
      <c r="E21" s="75">
        <v>44636.477083333339</v>
      </c>
      <c r="G21" s="73">
        <v>5.3900462962962963E-2</v>
      </c>
      <c r="H21" s="74">
        <v>44645.417361111111</v>
      </c>
      <c r="I21" s="75">
        <v>44645.470833333333</v>
      </c>
      <c r="K21" s="73">
        <v>4.7557870370370368E-2</v>
      </c>
      <c r="L21" s="74">
        <v>44669.416666666672</v>
      </c>
      <c r="M21" s="75">
        <v>44669.463888888888</v>
      </c>
    </row>
    <row r="22" spans="1:14" x14ac:dyDescent="0.25">
      <c r="A22" s="10">
        <v>3</v>
      </c>
      <c r="B22" s="62" t="s">
        <v>70</v>
      </c>
      <c r="C22" s="73">
        <v>5.6365740740740742E-3</v>
      </c>
      <c r="D22" s="74">
        <v>44636.483333333337</v>
      </c>
      <c r="E22" s="75">
        <v>44636.488888888889</v>
      </c>
      <c r="G22" s="73">
        <v>5.6365740740740742E-3</v>
      </c>
      <c r="H22" s="74">
        <v>44645.477083333339</v>
      </c>
      <c r="I22" s="75">
        <v>44645.482638888891</v>
      </c>
      <c r="K22" s="73">
        <v>1.4699074074074074E-3</v>
      </c>
      <c r="L22" s="74">
        <v>44669.46875</v>
      </c>
      <c r="M22" s="75">
        <v>44669.470138888886</v>
      </c>
    </row>
    <row r="23" spans="1:14" x14ac:dyDescent="0.25">
      <c r="A23" s="10">
        <v>4</v>
      </c>
      <c r="B23" s="62" t="s">
        <v>71</v>
      </c>
      <c r="C23" s="73">
        <v>1.9120370370370371E-2</v>
      </c>
      <c r="D23" s="74">
        <v>44636.483333333337</v>
      </c>
      <c r="E23" s="75">
        <v>44636.502083333333</v>
      </c>
      <c r="G23" s="73">
        <v>1.7430555555555557E-2</v>
      </c>
      <c r="H23" s="74">
        <v>44645.477083333339</v>
      </c>
      <c r="I23" s="75">
        <v>44645.494444444448</v>
      </c>
      <c r="K23" s="73">
        <v>1.1666666666666667E-2</v>
      </c>
      <c r="L23" s="74">
        <v>44669.46875</v>
      </c>
      <c r="M23" s="75">
        <v>44669.480555555558</v>
      </c>
    </row>
    <row r="24" spans="1:14" x14ac:dyDescent="0.25">
      <c r="A24" s="10">
        <v>5</v>
      </c>
      <c r="B24" s="62" t="s">
        <v>73</v>
      </c>
      <c r="C24" s="97">
        <v>3.8078703703703707E-3</v>
      </c>
      <c r="D24" s="98">
        <v>44636.502083333333</v>
      </c>
      <c r="E24" s="99">
        <v>44636.506250000006</v>
      </c>
      <c r="F24" s="76"/>
      <c r="G24" s="97">
        <v>3.8425925925925923E-3</v>
      </c>
      <c r="H24" s="98">
        <v>44645.494444444448</v>
      </c>
      <c r="I24" s="99">
        <v>44645.497916666667</v>
      </c>
      <c r="J24" s="76"/>
      <c r="K24" s="97">
        <v>3.8541666666666668E-3</v>
      </c>
      <c r="L24" s="98">
        <v>44669.480555555558</v>
      </c>
      <c r="M24" s="99">
        <v>44669.484722222223</v>
      </c>
      <c r="N24" s="76" t="s">
        <v>421</v>
      </c>
    </row>
    <row r="25" spans="1:14" x14ac:dyDescent="0.25">
      <c r="A25" s="10">
        <v>6</v>
      </c>
      <c r="B25" s="62" t="s">
        <v>74</v>
      </c>
      <c r="C25" s="73">
        <v>3.1944444446708076E-2</v>
      </c>
      <c r="D25" s="74">
        <v>44636.488888888889</v>
      </c>
      <c r="E25" s="75">
        <v>44636.520833333336</v>
      </c>
      <c r="G25" s="73">
        <v>3.8194444445252884E-2</v>
      </c>
      <c r="H25" s="74">
        <v>44645.482638888891</v>
      </c>
      <c r="I25" s="75">
        <v>44645.520833333336</v>
      </c>
      <c r="K25" s="73">
        <v>5.0694444449618459E-2</v>
      </c>
      <c r="L25" s="74">
        <v>44669.470138888886</v>
      </c>
      <c r="M25" s="75">
        <v>44669.520833333336</v>
      </c>
    </row>
    <row r="26" spans="1:14" x14ac:dyDescent="0.25">
      <c r="A26" s="10">
        <v>7</v>
      </c>
      <c r="B26" s="62" t="s">
        <v>75</v>
      </c>
      <c r="C26" s="73">
        <v>6.4884259259259267E-2</v>
      </c>
      <c r="D26" s="74">
        <v>44636.520833333336</v>
      </c>
      <c r="E26" s="75">
        <v>44636.585416666669</v>
      </c>
      <c r="G26" s="73">
        <v>6.0787037037037035E-2</v>
      </c>
      <c r="H26" s="74">
        <v>44645.520833333336</v>
      </c>
      <c r="I26" s="75">
        <v>44645.581250000003</v>
      </c>
      <c r="K26" s="73">
        <v>6.0162037037037042E-2</v>
      </c>
      <c r="L26" s="74">
        <v>44669.520833333328</v>
      </c>
      <c r="M26" s="75">
        <v>44669.581249999996</v>
      </c>
    </row>
    <row r="27" spans="1:14" x14ac:dyDescent="0.25">
      <c r="A27" s="10">
        <v>8</v>
      </c>
      <c r="B27" s="62" t="s">
        <v>76</v>
      </c>
      <c r="C27" s="97">
        <v>7.6388888888888893E-4</v>
      </c>
      <c r="D27" s="98">
        <v>44636.584722222229</v>
      </c>
      <c r="E27" s="99">
        <v>44636.585416666669</v>
      </c>
      <c r="F27" s="76"/>
      <c r="G27" s="97">
        <v>7.407407407407407E-4</v>
      </c>
      <c r="H27" s="98">
        <v>44645.580555555556</v>
      </c>
      <c r="I27" s="99">
        <v>44645.581250000003</v>
      </c>
      <c r="J27" s="76"/>
      <c r="K27" s="97">
        <v>7.407407407407407E-4</v>
      </c>
      <c r="L27" s="98">
        <v>44669.580555555549</v>
      </c>
      <c r="M27" s="99">
        <v>44669.581249999996</v>
      </c>
      <c r="N27" s="76" t="s">
        <v>422</v>
      </c>
    </row>
    <row r="28" spans="1:14" x14ac:dyDescent="0.25">
      <c r="A28" s="10">
        <v>9</v>
      </c>
      <c r="B28" s="62" t="s">
        <v>77</v>
      </c>
      <c r="C28" s="73">
        <v>0.1436574074074074</v>
      </c>
      <c r="D28" s="74">
        <v>44636.544444444451</v>
      </c>
      <c r="E28" s="75">
        <v>44636.688194444447</v>
      </c>
      <c r="G28" s="73">
        <v>0.13421296296296295</v>
      </c>
      <c r="H28" s="74">
        <v>44645.543750000004</v>
      </c>
      <c r="I28" s="75">
        <v>44645.677777777782</v>
      </c>
      <c r="K28" s="73">
        <v>0.14581018518518518</v>
      </c>
      <c r="L28" s="74">
        <v>44669.537499999999</v>
      </c>
      <c r="M28" s="75">
        <v>44669.683333333327</v>
      </c>
    </row>
    <row r="29" spans="1:14" x14ac:dyDescent="0.25">
      <c r="A29" s="10">
        <v>10</v>
      </c>
      <c r="B29" s="62" t="s">
        <v>423</v>
      </c>
      <c r="C29" s="97">
        <v>9.1921296296296293E-2</v>
      </c>
      <c r="D29" s="98">
        <v>44636.538194444453</v>
      </c>
      <c r="E29" s="99">
        <v>44636.629861111112</v>
      </c>
      <c r="F29" s="76"/>
      <c r="G29" s="97">
        <v>8.711805555555556E-2</v>
      </c>
      <c r="H29" s="98">
        <v>44645.536111111112</v>
      </c>
      <c r="I29" s="99">
        <v>44645.623611111114</v>
      </c>
      <c r="J29" s="76"/>
      <c r="K29" s="97">
        <v>8.6041666666666669E-2</v>
      </c>
      <c r="L29" s="98">
        <v>44669.535416666666</v>
      </c>
      <c r="M29" s="99">
        <v>44669.620833333327</v>
      </c>
      <c r="N29" s="76" t="s">
        <v>424</v>
      </c>
    </row>
    <row r="30" spans="1:14" x14ac:dyDescent="0.25">
      <c r="A30" s="10">
        <v>11</v>
      </c>
      <c r="B30" s="62" t="s">
        <v>79</v>
      </c>
      <c r="C30" s="73">
        <v>6.2037037037037043E-3</v>
      </c>
      <c r="D30" s="74">
        <v>44636.586111111115</v>
      </c>
      <c r="E30" s="75">
        <v>44636.592361111114</v>
      </c>
      <c r="G30" s="73">
        <v>5.7523148148148143E-3</v>
      </c>
      <c r="H30" s="74">
        <v>44645.58194444445</v>
      </c>
      <c r="I30" s="75">
        <v>44645.588194444448</v>
      </c>
      <c r="K30" s="73">
        <v>7.3379629629629628E-3</v>
      </c>
      <c r="L30" s="74">
        <v>44669.581944444442</v>
      </c>
      <c r="M30" s="75">
        <v>44669.588888888888</v>
      </c>
    </row>
    <row r="31" spans="1:14" x14ac:dyDescent="0.25">
      <c r="A31" s="10">
        <v>12</v>
      </c>
      <c r="B31" s="62" t="s">
        <v>80</v>
      </c>
      <c r="C31" s="73">
        <v>2.3414351851851853E-2</v>
      </c>
      <c r="D31" s="74">
        <v>44636.592361111114</v>
      </c>
      <c r="E31" s="75">
        <v>44636.615972222229</v>
      </c>
      <c r="G31" s="73">
        <v>2.0057870370370368E-2</v>
      </c>
      <c r="H31" s="74">
        <v>44645.588194444448</v>
      </c>
      <c r="I31" s="75">
        <v>44645.607638888891</v>
      </c>
      <c r="K31" s="73">
        <v>1.9664351851851853E-2</v>
      </c>
      <c r="L31" s="74">
        <v>44669.588888888888</v>
      </c>
      <c r="M31" s="75">
        <v>44669.60833333333</v>
      </c>
    </row>
    <row r="32" spans="1:14" x14ac:dyDescent="0.25">
      <c r="A32" s="10">
        <v>13</v>
      </c>
      <c r="B32" s="62" t="s">
        <v>425</v>
      </c>
      <c r="C32" s="97">
        <v>4.7453703703703704E-4</v>
      </c>
      <c r="D32" s="98">
        <v>44636.448611111118</v>
      </c>
      <c r="E32" s="99">
        <v>44636.595138888893</v>
      </c>
      <c r="F32" s="76"/>
      <c r="G32" s="97">
        <v>4.3981481481481481E-4</v>
      </c>
      <c r="H32" s="98">
        <v>44645.590277777781</v>
      </c>
      <c r="I32" s="99">
        <v>44645.590972222228</v>
      </c>
      <c r="J32" s="76"/>
      <c r="K32" s="97">
        <v>4.5138888888888892E-4</v>
      </c>
      <c r="L32" s="98">
        <v>44669.591666666667</v>
      </c>
      <c r="M32" s="99">
        <v>44669.591666666667</v>
      </c>
      <c r="N32" s="76" t="s">
        <v>426</v>
      </c>
    </row>
    <row r="33" spans="1:14" hidden="1" x14ac:dyDescent="0.25">
      <c r="A33" s="10">
        <v>14</v>
      </c>
      <c r="B33" s="62" t="s">
        <v>82</v>
      </c>
      <c r="C33" s="73">
        <v>1.6666666666666666E-2</v>
      </c>
      <c r="D33" s="74">
        <v>44636.448611111118</v>
      </c>
      <c r="E33" s="75">
        <v>44636.594444444447</v>
      </c>
      <c r="F33" s="77"/>
      <c r="G33" s="73">
        <v>1.3541666666666667E-2</v>
      </c>
      <c r="H33" s="74">
        <v>44645.589583333334</v>
      </c>
      <c r="I33" s="75">
        <v>44645.603472222225</v>
      </c>
      <c r="J33" s="77"/>
      <c r="K33" s="73">
        <v>1.3194444444444444E-2</v>
      </c>
      <c r="L33" s="74">
        <v>44669.59097222222</v>
      </c>
      <c r="M33" s="75">
        <v>44669.604166666664</v>
      </c>
      <c r="N33" s="131" t="s">
        <v>427</v>
      </c>
    </row>
    <row r="34" spans="1:14" x14ac:dyDescent="0.25">
      <c r="A34" s="10">
        <v>15</v>
      </c>
      <c r="B34" s="62" t="s">
        <v>83</v>
      </c>
      <c r="C34" s="97">
        <v>5.0925925925925921E-4</v>
      </c>
      <c r="D34" s="98">
        <v>44636.448611111118</v>
      </c>
      <c r="E34" s="99">
        <v>44636.615277777782</v>
      </c>
      <c r="F34" s="76"/>
      <c r="G34" s="97">
        <v>5.2083333333333333E-4</v>
      </c>
      <c r="H34" s="98">
        <v>44645.607638888891</v>
      </c>
      <c r="I34" s="99">
        <v>44645.607638888891</v>
      </c>
      <c r="J34" s="76"/>
      <c r="K34" s="97">
        <v>5.3240740740740744E-4</v>
      </c>
      <c r="L34" s="98">
        <v>44669.60833333333</v>
      </c>
      <c r="M34" s="99">
        <v>44669.60833333333</v>
      </c>
      <c r="N34" s="76" t="s">
        <v>428</v>
      </c>
    </row>
    <row r="35" spans="1:14" x14ac:dyDescent="0.25">
      <c r="A35" s="10">
        <v>16</v>
      </c>
      <c r="B35" s="62" t="s">
        <v>84</v>
      </c>
      <c r="C35" s="73">
        <v>4.6921296296296294E-2</v>
      </c>
      <c r="D35" s="74">
        <v>44636.615972222229</v>
      </c>
      <c r="E35" s="75">
        <v>44636.662500000006</v>
      </c>
      <c r="G35" s="73">
        <v>6.4236111111111105E-2</v>
      </c>
      <c r="H35" s="74">
        <v>44645.608333333337</v>
      </c>
      <c r="I35" s="75">
        <v>44645.672222222223</v>
      </c>
      <c r="K35" s="73">
        <v>5.7847222222222223E-2</v>
      </c>
      <c r="L35" s="74">
        <v>44669.609027777777</v>
      </c>
      <c r="M35" s="75">
        <v>44669.666666666664</v>
      </c>
    </row>
    <row r="36" spans="1:14" x14ac:dyDescent="0.25">
      <c r="A36" s="10">
        <v>17</v>
      </c>
      <c r="B36" s="62" t="s">
        <v>85</v>
      </c>
      <c r="C36" s="73">
        <v>4.6747685185185184E-2</v>
      </c>
      <c r="D36" s="74">
        <v>44636.592361111114</v>
      </c>
      <c r="E36" s="75">
        <v>44636.638888888891</v>
      </c>
      <c r="G36" s="73">
        <v>4.4953703703703697E-2</v>
      </c>
      <c r="H36" s="74">
        <v>44645.588194444448</v>
      </c>
      <c r="I36" s="75">
        <v>44645.632638888892</v>
      </c>
      <c r="K36" s="73">
        <v>3.5034722222222224E-2</v>
      </c>
      <c r="L36" s="74">
        <v>44669.588888888888</v>
      </c>
      <c r="M36" s="75">
        <v>44669.624305555553</v>
      </c>
    </row>
    <row r="37" spans="1:14" x14ac:dyDescent="0.25">
      <c r="A37" s="10">
        <v>18</v>
      </c>
      <c r="B37" s="62" t="s">
        <v>86</v>
      </c>
      <c r="C37" s="97">
        <v>9.2592592592592585E-4</v>
      </c>
      <c r="D37" s="98">
        <v>44636.448611111118</v>
      </c>
      <c r="E37" s="99">
        <v>44636.628472222226</v>
      </c>
      <c r="F37" s="76"/>
      <c r="G37" s="97">
        <v>9.1435185185185185E-4</v>
      </c>
      <c r="H37" s="98">
        <v>44645.622222222228</v>
      </c>
      <c r="I37" s="99">
        <v>44645.622916666667</v>
      </c>
      <c r="J37" s="76"/>
      <c r="K37" s="97">
        <v>8.564814814814815E-4</v>
      </c>
      <c r="L37" s="98">
        <v>44669.613888888889</v>
      </c>
      <c r="M37" s="99">
        <v>44669.614583333328</v>
      </c>
      <c r="N37" s="76" t="s">
        <v>429</v>
      </c>
    </row>
    <row r="38" spans="1:14" x14ac:dyDescent="0.25">
      <c r="A38" s="10">
        <v>19</v>
      </c>
      <c r="B38" s="62" t="s">
        <v>87</v>
      </c>
      <c r="C38" s="97">
        <v>2.4305555555555556E-3</v>
      </c>
      <c r="D38" s="98">
        <v>44636.448611111118</v>
      </c>
      <c r="E38" s="99">
        <v>44636.609722222223</v>
      </c>
      <c r="G38" s="97">
        <v>2.4421296296296296E-3</v>
      </c>
      <c r="H38" s="98">
        <v>44645.604861111111</v>
      </c>
      <c r="I38" s="99">
        <v>44645.607638888891</v>
      </c>
      <c r="K38" s="97">
        <v>2.4421296296296296E-3</v>
      </c>
      <c r="L38" s="98">
        <v>44669.606249999997</v>
      </c>
      <c r="M38" s="99">
        <v>44669.609027777777</v>
      </c>
      <c r="N38" s="1" t="s">
        <v>430</v>
      </c>
    </row>
    <row r="39" spans="1:14" x14ac:dyDescent="0.25">
      <c r="A39" s="10">
        <v>20</v>
      </c>
      <c r="B39" s="62" t="s">
        <v>88</v>
      </c>
      <c r="C39" s="73">
        <v>6.4814814814814813E-3</v>
      </c>
      <c r="D39" s="74">
        <v>44636.662500000006</v>
      </c>
      <c r="E39" s="75">
        <v>44636.669444444451</v>
      </c>
      <c r="F39" s="76"/>
      <c r="G39" s="73">
        <v>5.0810185185185186E-3</v>
      </c>
      <c r="H39" s="74">
        <v>44645.672222222223</v>
      </c>
      <c r="I39" s="75">
        <v>44645.677083333336</v>
      </c>
      <c r="J39" s="76"/>
      <c r="K39" s="73">
        <v>7.1643518518518514E-3</v>
      </c>
      <c r="L39" s="74">
        <v>44669.666666666664</v>
      </c>
      <c r="M39" s="75">
        <v>44669.673611111109</v>
      </c>
      <c r="N39" s="76"/>
    </row>
    <row r="40" spans="1:14" x14ac:dyDescent="0.25">
      <c r="A40" s="10">
        <v>21</v>
      </c>
      <c r="B40" s="62" t="s">
        <v>89</v>
      </c>
      <c r="C40" s="73">
        <v>2.2488425925925926E-2</v>
      </c>
      <c r="D40" s="74">
        <v>44636.592361111114</v>
      </c>
      <c r="E40" s="75">
        <v>44636.615277777782</v>
      </c>
      <c r="G40" s="73">
        <v>2.327546296296296E-2</v>
      </c>
      <c r="H40" s="74">
        <v>44645.588194444448</v>
      </c>
      <c r="I40" s="75">
        <v>44645.611111111117</v>
      </c>
      <c r="K40" s="73">
        <v>2.3067129629629632E-2</v>
      </c>
      <c r="L40" s="74">
        <v>44669.588888888888</v>
      </c>
      <c r="M40" s="75">
        <v>44669.611805555549</v>
      </c>
    </row>
    <row r="41" spans="1:14" x14ac:dyDescent="0.25">
      <c r="A41" s="10">
        <v>22</v>
      </c>
      <c r="B41" s="62" t="s">
        <v>90</v>
      </c>
      <c r="C41" s="97">
        <v>2.5115740740740741E-3</v>
      </c>
      <c r="D41" s="98">
        <v>44636.612500000003</v>
      </c>
      <c r="E41" s="99">
        <v>44636.614583333336</v>
      </c>
      <c r="F41" s="76"/>
      <c r="G41" s="97">
        <v>2.7199074074074074E-3</v>
      </c>
      <c r="H41" s="98">
        <v>44645.608333333337</v>
      </c>
      <c r="I41" s="99">
        <v>44645.611111111117</v>
      </c>
      <c r="J41" s="76"/>
      <c r="K41" s="97">
        <v>2.615740740740741E-3</v>
      </c>
      <c r="L41" s="98">
        <v>44669.609027777777</v>
      </c>
      <c r="M41" s="99">
        <v>44669.611805555549</v>
      </c>
      <c r="N41" s="76" t="s">
        <v>431</v>
      </c>
    </row>
    <row r="42" spans="1:14" x14ac:dyDescent="0.25">
      <c r="A42" s="10">
        <v>23</v>
      </c>
      <c r="B42" s="62" t="s">
        <v>91</v>
      </c>
      <c r="C42" s="73">
        <v>1.5046296296296297E-4</v>
      </c>
      <c r="D42" s="74">
        <v>44636.614583333336</v>
      </c>
      <c r="E42" s="75">
        <v>44636.615277777782</v>
      </c>
      <c r="F42" s="76"/>
      <c r="G42" s="73">
        <v>1.6203703703703703E-4</v>
      </c>
      <c r="H42" s="74">
        <v>44645.611111111117</v>
      </c>
      <c r="I42" s="75">
        <v>44645.611111111117</v>
      </c>
      <c r="J42" s="76"/>
      <c r="K42" s="73">
        <v>1.5046296296296297E-4</v>
      </c>
      <c r="L42" s="74">
        <v>44669.611805555549</v>
      </c>
      <c r="M42" s="75">
        <v>44669.611805555549</v>
      </c>
      <c r="N42" s="76"/>
    </row>
    <row r="43" spans="1:14" x14ac:dyDescent="0.25">
      <c r="A43" s="10">
        <v>24</v>
      </c>
      <c r="B43" s="62" t="s">
        <v>93</v>
      </c>
      <c r="C43" s="73">
        <v>2.0243055555555552E-2</v>
      </c>
      <c r="D43" s="74">
        <v>44636.565972222226</v>
      </c>
      <c r="E43" s="75">
        <v>44636.586111111115</v>
      </c>
      <c r="G43" s="73">
        <v>1.9571759259259257E-2</v>
      </c>
      <c r="H43" s="74">
        <v>44645.561805555561</v>
      </c>
      <c r="I43" s="75">
        <v>44645.581250000003</v>
      </c>
      <c r="K43" s="73">
        <v>1.9618055555555555E-2</v>
      </c>
      <c r="L43" s="74">
        <v>44669.561111111107</v>
      </c>
      <c r="M43" s="75">
        <v>44669.580555555549</v>
      </c>
    </row>
    <row r="44" spans="1:14" x14ac:dyDescent="0.25">
      <c r="A44" s="10">
        <v>25</v>
      </c>
      <c r="B44" s="62" t="s">
        <v>94</v>
      </c>
      <c r="C44" s="73">
        <v>6.5972222222222222E-3</v>
      </c>
      <c r="D44" s="74">
        <v>44636.688194444447</v>
      </c>
      <c r="E44" s="75">
        <v>44636.695138888892</v>
      </c>
      <c r="G44" s="73">
        <v>6.5509259259259262E-3</v>
      </c>
      <c r="H44" s="74">
        <v>44645.677777777782</v>
      </c>
      <c r="I44" s="75">
        <v>44645.684722222228</v>
      </c>
      <c r="K44" s="73">
        <v>6.8055555555555569E-3</v>
      </c>
      <c r="L44" s="74">
        <v>44669.683333333327</v>
      </c>
      <c r="M44" s="75">
        <v>44669.690277777772</v>
      </c>
    </row>
    <row r="45" spans="1:14" x14ac:dyDescent="0.25">
      <c r="A45" s="10">
        <v>26</v>
      </c>
      <c r="B45" s="62" t="s">
        <v>95</v>
      </c>
      <c r="C45" s="73">
        <v>7.7557870370370374E-2</v>
      </c>
      <c r="D45" s="74">
        <v>44636.695138888892</v>
      </c>
      <c r="E45" s="75">
        <v>44636.772222222229</v>
      </c>
      <c r="G45" s="73">
        <v>7.662037037037038E-2</v>
      </c>
      <c r="H45" s="74">
        <v>44645.684722222228</v>
      </c>
      <c r="I45" s="75">
        <v>44645.761111111111</v>
      </c>
      <c r="K45" s="73">
        <v>7.6134259259259263E-2</v>
      </c>
      <c r="L45" s="74">
        <v>44669.690277777772</v>
      </c>
      <c r="M45" s="75">
        <v>44669.766666666663</v>
      </c>
    </row>
    <row r="46" spans="1:14" x14ac:dyDescent="0.25">
      <c r="A46" s="10">
        <v>27</v>
      </c>
      <c r="B46" s="62" t="s">
        <v>96</v>
      </c>
      <c r="C46" s="73">
        <v>5.3622685185185183E-2</v>
      </c>
      <c r="D46" s="74">
        <v>44636.695138888892</v>
      </c>
      <c r="E46" s="75">
        <v>44636.748611111114</v>
      </c>
      <c r="G46" s="73">
        <v>5.3067129629629638E-2</v>
      </c>
      <c r="H46" s="74">
        <v>44645.684722222228</v>
      </c>
      <c r="I46" s="75">
        <v>44645.737500000003</v>
      </c>
      <c r="K46" s="73">
        <v>5.6944444444444443E-2</v>
      </c>
      <c r="L46" s="74">
        <v>44669.690277777772</v>
      </c>
      <c r="M46" s="75">
        <v>44669.74722222222</v>
      </c>
    </row>
  </sheetData>
  <mergeCells count="6">
    <mergeCell ref="G1:I1"/>
    <mergeCell ref="G9:I9"/>
    <mergeCell ref="C1:E1"/>
    <mergeCell ref="C9:E9"/>
    <mergeCell ref="K1:M1"/>
    <mergeCell ref="K9:M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11"/>
  <sheetViews>
    <sheetView topLeftCell="A4" zoomScale="70" zoomScaleNormal="70" workbookViewId="0">
      <selection activeCell="D36" sqref="D36"/>
    </sheetView>
  </sheetViews>
  <sheetFormatPr defaultColWidth="9.140625" defaultRowHeight="15.75" x14ac:dyDescent="0.25"/>
  <cols>
    <col min="1" max="1" width="2.140625" style="1" customWidth="1"/>
    <col min="2" max="2" width="1.140625" style="1" customWidth="1"/>
    <col min="3" max="3" width="25" style="1" customWidth="1"/>
    <col min="4" max="4" width="13.42578125" style="1" customWidth="1"/>
    <col min="5" max="15" width="9" style="1" customWidth="1"/>
    <col min="16" max="16" width="9.85546875" style="1" customWidth="1"/>
    <col min="17" max="17" width="8.5703125" style="1" customWidth="1"/>
    <col min="18" max="20" width="9" style="1" customWidth="1"/>
    <col min="21" max="23" width="10.42578125" style="1" customWidth="1"/>
    <col min="24" max="24" width="8.42578125" style="1" customWidth="1"/>
    <col min="25" max="25" width="10.42578125" style="1" customWidth="1"/>
    <col min="26" max="26" width="9.85546875" style="1" customWidth="1"/>
    <col min="27" max="27" width="11.7109375" style="1" customWidth="1"/>
    <col min="28" max="28" width="6.5703125" style="2" customWidth="1"/>
    <col min="29" max="29" width="1.85546875" style="1" customWidth="1"/>
    <col min="30" max="16384" width="9.140625" style="1"/>
  </cols>
  <sheetData>
    <row r="1" spans="2:29" ht="11.25" customHeight="1" thickBot="1" x14ac:dyDescent="0.3"/>
    <row r="2" spans="2:29" ht="18.75" customHeight="1" x14ac:dyDescent="0.3">
      <c r="B2" s="3"/>
      <c r="C2" s="124" t="s">
        <v>0</v>
      </c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 t="s">
        <v>1</v>
      </c>
      <c r="AC2" s="6"/>
    </row>
    <row r="3" spans="2:29" x14ac:dyDescent="0.25">
      <c r="B3" s="7"/>
      <c r="C3" s="8"/>
      <c r="D3" s="9" t="s">
        <v>2</v>
      </c>
      <c r="E3" s="9" t="s">
        <v>3</v>
      </c>
      <c r="F3" s="9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0" t="s">
        <v>20</v>
      </c>
      <c r="W3" s="10" t="s">
        <v>21</v>
      </c>
      <c r="X3" s="10" t="s">
        <v>22</v>
      </c>
      <c r="Y3" s="10" t="s">
        <v>23</v>
      </c>
      <c r="Z3" s="10" t="s">
        <v>24</v>
      </c>
      <c r="AA3" s="10" t="s">
        <v>25</v>
      </c>
      <c r="AC3" s="11"/>
    </row>
    <row r="4" spans="2:29" x14ac:dyDescent="0.25">
      <c r="B4" s="7"/>
      <c r="C4" s="8">
        <v>44161</v>
      </c>
      <c r="D4" s="12">
        <v>8800</v>
      </c>
      <c r="E4" s="12">
        <v>8589</v>
      </c>
      <c r="F4" s="12">
        <v>6572</v>
      </c>
      <c r="G4" s="12">
        <v>5706</v>
      </c>
      <c r="H4" s="12">
        <v>5265</v>
      </c>
      <c r="I4" s="12">
        <v>8965</v>
      </c>
      <c r="J4" s="12">
        <v>13356</v>
      </c>
      <c r="K4" s="12">
        <v>25456</v>
      </c>
      <c r="L4" s="12">
        <v>58358</v>
      </c>
      <c r="M4" s="12">
        <v>60338</v>
      </c>
      <c r="N4" s="12">
        <v>59204</v>
      </c>
      <c r="O4" s="12">
        <v>53810</v>
      </c>
      <c r="P4" s="12">
        <v>45848</v>
      </c>
      <c r="Q4" s="12">
        <v>48812</v>
      </c>
      <c r="R4" s="12">
        <v>47571</v>
      </c>
      <c r="S4" s="12">
        <v>45957</v>
      </c>
      <c r="T4" s="12">
        <v>48859</v>
      </c>
      <c r="U4" s="12">
        <v>52618</v>
      </c>
      <c r="V4" s="12">
        <v>56896</v>
      </c>
      <c r="W4" s="12">
        <v>63506</v>
      </c>
      <c r="X4" s="12">
        <v>71525</v>
      </c>
      <c r="Y4" s="12">
        <v>72728</v>
      </c>
      <c r="Z4" s="12">
        <v>62015</v>
      </c>
      <c r="AA4" s="12">
        <v>51968</v>
      </c>
      <c r="AC4" s="11"/>
    </row>
    <row r="5" spans="2:29" x14ac:dyDescent="0.25">
      <c r="B5" s="7"/>
      <c r="C5" s="8">
        <v>44162</v>
      </c>
      <c r="D5" s="12">
        <v>36357</v>
      </c>
      <c r="E5" s="12">
        <v>22971</v>
      </c>
      <c r="F5" s="12">
        <v>15879</v>
      </c>
      <c r="G5" s="12">
        <v>13166</v>
      </c>
      <c r="H5" s="12">
        <v>12213</v>
      </c>
      <c r="I5" s="12">
        <v>17872</v>
      </c>
      <c r="J5" s="12">
        <v>23801</v>
      </c>
      <c r="K5" s="12">
        <v>37068</v>
      </c>
      <c r="L5" s="12">
        <v>54590</v>
      </c>
      <c r="M5" s="12">
        <v>63619</v>
      </c>
      <c r="N5" s="12">
        <v>64618</v>
      </c>
      <c r="O5" s="12">
        <v>69159</v>
      </c>
      <c r="P5" s="12">
        <v>70723</v>
      </c>
      <c r="Q5" s="12">
        <v>69575</v>
      </c>
      <c r="R5" s="12">
        <v>67815</v>
      </c>
      <c r="S5" s="12">
        <v>66852</v>
      </c>
      <c r="T5" s="12">
        <v>72575</v>
      </c>
      <c r="U5" s="12">
        <v>77163</v>
      </c>
      <c r="V5" s="12">
        <v>78667</v>
      </c>
      <c r="W5" s="12">
        <v>83346</v>
      </c>
      <c r="X5" s="12">
        <v>89615</v>
      </c>
      <c r="Y5" s="13">
        <v>89910</v>
      </c>
      <c r="Z5" s="12">
        <v>83879</v>
      </c>
      <c r="AA5" s="12">
        <v>57760</v>
      </c>
      <c r="AB5" s="14" t="s">
        <v>26</v>
      </c>
      <c r="AC5" s="11"/>
    </row>
    <row r="6" spans="2:29" x14ac:dyDescent="0.25">
      <c r="B6" s="7"/>
      <c r="C6" s="8" t="s">
        <v>27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C6" s="11"/>
    </row>
    <row r="7" spans="2:29" x14ac:dyDescent="0.25">
      <c r="B7" s="7"/>
      <c r="C7" s="8">
        <v>44527</v>
      </c>
      <c r="D7" s="15">
        <f>D5+(D5*0.6)</f>
        <v>58171.199999999997</v>
      </c>
      <c r="E7" s="15">
        <f t="shared" ref="E7:X7" si="0">E5+(E5*0.6)</f>
        <v>36753.599999999999</v>
      </c>
      <c r="F7" s="15">
        <f t="shared" si="0"/>
        <v>25406.400000000001</v>
      </c>
      <c r="G7" s="15">
        <f t="shared" si="0"/>
        <v>21065.599999999999</v>
      </c>
      <c r="H7" s="15">
        <f t="shared" si="0"/>
        <v>19540.8</v>
      </c>
      <c r="I7" s="15">
        <f t="shared" si="0"/>
        <v>28595.199999999997</v>
      </c>
      <c r="J7" s="15">
        <f t="shared" si="0"/>
        <v>38081.599999999999</v>
      </c>
      <c r="K7" s="15">
        <f t="shared" si="0"/>
        <v>59308.800000000003</v>
      </c>
      <c r="L7" s="15">
        <f t="shared" si="0"/>
        <v>87344</v>
      </c>
      <c r="M7" s="15">
        <f t="shared" si="0"/>
        <v>101790.39999999999</v>
      </c>
      <c r="N7" s="15">
        <f t="shared" si="0"/>
        <v>103388.79999999999</v>
      </c>
      <c r="O7" s="15">
        <f t="shared" si="0"/>
        <v>110654.39999999999</v>
      </c>
      <c r="P7" s="15">
        <f t="shared" si="0"/>
        <v>113156.79999999999</v>
      </c>
      <c r="Q7" s="15">
        <f t="shared" si="0"/>
        <v>111320</v>
      </c>
      <c r="R7" s="15">
        <f t="shared" si="0"/>
        <v>108504</v>
      </c>
      <c r="S7" s="15">
        <f t="shared" si="0"/>
        <v>106963.2</v>
      </c>
      <c r="T7" s="15">
        <f t="shared" si="0"/>
        <v>116120</v>
      </c>
      <c r="U7" s="15">
        <f t="shared" si="0"/>
        <v>123460.79999999999</v>
      </c>
      <c r="V7" s="15">
        <f t="shared" si="0"/>
        <v>125867.2</v>
      </c>
      <c r="W7" s="15">
        <f t="shared" si="0"/>
        <v>133353.60000000001</v>
      </c>
      <c r="X7" s="15">
        <f t="shared" si="0"/>
        <v>143384</v>
      </c>
      <c r="Y7" s="16">
        <v>160000</v>
      </c>
      <c r="Z7" s="15">
        <f>Z5+(Z5*0.6)</f>
        <v>134206.39999999999</v>
      </c>
      <c r="AA7" s="17">
        <f>AA5+(AA5*0.6)</f>
        <v>92416</v>
      </c>
      <c r="AB7" s="14" t="s">
        <v>28</v>
      </c>
      <c r="AC7" s="11"/>
    </row>
    <row r="8" spans="2:29" x14ac:dyDescent="0.25">
      <c r="B8" s="7"/>
      <c r="C8" s="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C8" s="11"/>
    </row>
    <row r="9" spans="2:29" ht="51" customHeight="1" x14ac:dyDescent="0.25">
      <c r="B9" s="7"/>
      <c r="C9" s="18" t="s">
        <v>29</v>
      </c>
      <c r="D9" s="15">
        <v>187986.311062097</v>
      </c>
      <c r="E9" s="15">
        <v>118773.098754227</v>
      </c>
      <c r="F9" s="15">
        <v>82103.436294387473</v>
      </c>
      <c r="G9" s="15">
        <v>68075.687527672082</v>
      </c>
      <c r="H9" s="15">
        <v>63148.1370025414</v>
      </c>
      <c r="I9" s="15">
        <v>92408.376689545476</v>
      </c>
      <c r="J9" s="15">
        <v>123064.66951588361</v>
      </c>
      <c r="K9" s="15">
        <v>191662.58432901034</v>
      </c>
      <c r="L9" s="15">
        <v>282261.2625046043</v>
      </c>
      <c r="M9" s="15">
        <v>328946.31359736982</v>
      </c>
      <c r="N9" s="15">
        <v>334111.71021290572</v>
      </c>
      <c r="O9" s="15">
        <v>357591.25578963058</v>
      </c>
      <c r="P9" s="15">
        <v>365678.02286340232</v>
      </c>
      <c r="Q9" s="15">
        <v>359742.21173764148</v>
      </c>
      <c r="R9" s="15">
        <v>350642.01349605678</v>
      </c>
      <c r="S9" s="15">
        <v>345662.75729909888</v>
      </c>
      <c r="T9" s="15">
        <v>375253.913285797</v>
      </c>
      <c r="U9" s="15">
        <v>398976.47552010958</v>
      </c>
      <c r="V9" s="15">
        <v>406753.00856291829</v>
      </c>
      <c r="W9" s="15">
        <v>430946.09241085831</v>
      </c>
      <c r="X9" s="15">
        <v>463360.37807932083</v>
      </c>
      <c r="Y9" s="15">
        <v>517056.71827185265</v>
      </c>
      <c r="Z9" s="15">
        <v>433702.00471924717</v>
      </c>
      <c r="AA9" s="17">
        <v>298651.96047382202</v>
      </c>
      <c r="AB9" s="19" t="s">
        <v>30</v>
      </c>
      <c r="AC9" s="11"/>
    </row>
    <row r="10" spans="2:29" x14ac:dyDescent="0.25">
      <c r="B10" s="7"/>
      <c r="C10" s="1" t="s">
        <v>31</v>
      </c>
      <c r="D10" s="20">
        <f>D9*0.4</f>
        <v>75194.524424838804</v>
      </c>
      <c r="E10" s="20">
        <f t="shared" ref="E10:AA10" si="1">E9*0.4</f>
        <v>47509.239501690805</v>
      </c>
      <c r="F10" s="20">
        <f t="shared" si="1"/>
        <v>32841.374517754994</v>
      </c>
      <c r="G10" s="20">
        <f t="shared" si="1"/>
        <v>27230.275011068836</v>
      </c>
      <c r="H10" s="20">
        <f t="shared" si="1"/>
        <v>25259.254801016563</v>
      </c>
      <c r="I10" s="20">
        <f t="shared" si="1"/>
        <v>36963.35067581819</v>
      </c>
      <c r="J10" s="20">
        <f t="shared" si="1"/>
        <v>49225.867806353446</v>
      </c>
      <c r="K10" s="20">
        <f t="shared" si="1"/>
        <v>76665.03373160414</v>
      </c>
      <c r="L10" s="20">
        <f t="shared" si="1"/>
        <v>112904.50500184172</v>
      </c>
      <c r="M10" s="20">
        <f t="shared" si="1"/>
        <v>131578.52543894792</v>
      </c>
      <c r="N10" s="20">
        <f t="shared" si="1"/>
        <v>133644.6840851623</v>
      </c>
      <c r="O10" s="20">
        <f t="shared" si="1"/>
        <v>143036.50231585224</v>
      </c>
      <c r="P10" s="20">
        <f t="shared" si="1"/>
        <v>146271.20914536095</v>
      </c>
      <c r="Q10" s="20">
        <f t="shared" si="1"/>
        <v>143896.88469505659</v>
      </c>
      <c r="R10" s="20">
        <f t="shared" si="1"/>
        <v>140256.80539842273</v>
      </c>
      <c r="S10" s="20">
        <f t="shared" si="1"/>
        <v>138265.10291963955</v>
      </c>
      <c r="T10" s="20">
        <f t="shared" si="1"/>
        <v>150101.56531431881</v>
      </c>
      <c r="U10" s="20">
        <f t="shared" si="1"/>
        <v>159590.59020804384</v>
      </c>
      <c r="V10" s="20">
        <f t="shared" si="1"/>
        <v>162701.20342516733</v>
      </c>
      <c r="W10" s="20">
        <f t="shared" si="1"/>
        <v>172378.43696434333</v>
      </c>
      <c r="X10" s="20">
        <f t="shared" si="1"/>
        <v>185344.15123172835</v>
      </c>
      <c r="Y10" s="20">
        <f t="shared" si="1"/>
        <v>206822.68730874106</v>
      </c>
      <c r="Z10" s="20">
        <f t="shared" si="1"/>
        <v>173480.80188769888</v>
      </c>
      <c r="AA10" s="20">
        <f t="shared" si="1"/>
        <v>119460.78418952881</v>
      </c>
      <c r="AC10" s="11"/>
    </row>
    <row r="11" spans="2:29" x14ac:dyDescent="0.25">
      <c r="B11" s="7"/>
      <c r="C11" s="1" t="s">
        <v>32</v>
      </c>
      <c r="D11" s="20">
        <f>D9*0.3</f>
        <v>56395.893318629096</v>
      </c>
      <c r="E11" s="20">
        <f t="shared" ref="E11:AA11" si="2">E9*0.3</f>
        <v>35631.929626268102</v>
      </c>
      <c r="F11" s="20">
        <f t="shared" si="2"/>
        <v>24631.03088831624</v>
      </c>
      <c r="G11" s="20">
        <f t="shared" si="2"/>
        <v>20422.706258301623</v>
      </c>
      <c r="H11" s="20">
        <f t="shared" si="2"/>
        <v>18944.441100762419</v>
      </c>
      <c r="I11" s="20">
        <f t="shared" si="2"/>
        <v>27722.513006863643</v>
      </c>
      <c r="J11" s="20">
        <f t="shared" si="2"/>
        <v>36919.400854765081</v>
      </c>
      <c r="K11" s="20">
        <f t="shared" si="2"/>
        <v>57498.775298703098</v>
      </c>
      <c r="L11" s="20">
        <f t="shared" si="2"/>
        <v>84678.378751381286</v>
      </c>
      <c r="M11" s="20">
        <f t="shared" si="2"/>
        <v>98683.89407921095</v>
      </c>
      <c r="N11" s="20">
        <f t="shared" si="2"/>
        <v>100233.51306387171</v>
      </c>
      <c r="O11" s="20">
        <f t="shared" si="2"/>
        <v>107277.37673688917</v>
      </c>
      <c r="P11" s="20">
        <f t="shared" si="2"/>
        <v>109703.40685902069</v>
      </c>
      <c r="Q11" s="20">
        <f t="shared" si="2"/>
        <v>107922.66352129244</v>
      </c>
      <c r="R11" s="20">
        <f t="shared" si="2"/>
        <v>105192.60404881703</v>
      </c>
      <c r="S11" s="20">
        <f t="shared" si="2"/>
        <v>103698.82718972967</v>
      </c>
      <c r="T11" s="20">
        <f t="shared" si="2"/>
        <v>112576.17398573909</v>
      </c>
      <c r="U11" s="20">
        <f t="shared" si="2"/>
        <v>119692.94265603287</v>
      </c>
      <c r="V11" s="20">
        <f t="shared" si="2"/>
        <v>122025.90256887548</v>
      </c>
      <c r="W11" s="20">
        <f t="shared" si="2"/>
        <v>129283.82772325749</v>
      </c>
      <c r="X11" s="20">
        <f t="shared" si="2"/>
        <v>139008.11342379625</v>
      </c>
      <c r="Y11" s="20">
        <f t="shared" si="2"/>
        <v>155117.01548155578</v>
      </c>
      <c r="Z11" s="20">
        <f t="shared" si="2"/>
        <v>130110.60141577414</v>
      </c>
      <c r="AA11" s="20">
        <f t="shared" si="2"/>
        <v>89595.588142146604</v>
      </c>
      <c r="AC11" s="11"/>
    </row>
    <row r="12" spans="2:29" x14ac:dyDescent="0.25">
      <c r="B12" s="7"/>
      <c r="C12" s="21" t="s">
        <v>33</v>
      </c>
      <c r="D12" s="20">
        <f>D9*0.2</f>
        <v>37597.262212419402</v>
      </c>
      <c r="E12" s="20">
        <f t="shared" ref="E12:AA12" si="3">E9*0.2</f>
        <v>23754.619750845402</v>
      </c>
      <c r="F12" s="20">
        <f t="shared" si="3"/>
        <v>16420.687258877497</v>
      </c>
      <c r="G12" s="20">
        <f t="shared" si="3"/>
        <v>13615.137505534418</v>
      </c>
      <c r="H12" s="20">
        <f t="shared" si="3"/>
        <v>12629.627400508281</v>
      </c>
      <c r="I12" s="20">
        <f t="shared" si="3"/>
        <v>18481.675337909095</v>
      </c>
      <c r="J12" s="20">
        <f t="shared" si="3"/>
        <v>24612.933903176723</v>
      </c>
      <c r="K12" s="20">
        <f t="shared" si="3"/>
        <v>38332.51686580207</v>
      </c>
      <c r="L12" s="20">
        <f t="shared" si="3"/>
        <v>56452.252500920862</v>
      </c>
      <c r="M12" s="20">
        <f t="shared" si="3"/>
        <v>65789.262719473962</v>
      </c>
      <c r="N12" s="20">
        <f t="shared" si="3"/>
        <v>66822.342042581149</v>
      </c>
      <c r="O12" s="20">
        <f t="shared" si="3"/>
        <v>71518.251157926119</v>
      </c>
      <c r="P12" s="20">
        <f t="shared" si="3"/>
        <v>73135.604572680473</v>
      </c>
      <c r="Q12" s="20">
        <f t="shared" si="3"/>
        <v>71948.442347528297</v>
      </c>
      <c r="R12" s="20">
        <f t="shared" si="3"/>
        <v>70128.402699211365</v>
      </c>
      <c r="S12" s="20">
        <f t="shared" si="3"/>
        <v>69132.551459819777</v>
      </c>
      <c r="T12" s="20">
        <f t="shared" si="3"/>
        <v>75050.782657159405</v>
      </c>
      <c r="U12" s="20">
        <f t="shared" si="3"/>
        <v>79795.29510402192</v>
      </c>
      <c r="V12" s="20">
        <f t="shared" si="3"/>
        <v>81350.601712583666</v>
      </c>
      <c r="W12" s="20">
        <f t="shared" si="3"/>
        <v>86189.218482171666</v>
      </c>
      <c r="X12" s="20">
        <f t="shared" si="3"/>
        <v>92672.075615864174</v>
      </c>
      <c r="Y12" s="20">
        <f t="shared" si="3"/>
        <v>103411.34365437053</v>
      </c>
      <c r="Z12" s="20">
        <f t="shared" si="3"/>
        <v>86740.400943849439</v>
      </c>
      <c r="AA12" s="20">
        <f t="shared" si="3"/>
        <v>59730.392094764407</v>
      </c>
      <c r="AC12" s="11"/>
    </row>
    <row r="13" spans="2:29" x14ac:dyDescent="0.25">
      <c r="B13" s="7"/>
      <c r="C13" s="1" t="s">
        <v>34</v>
      </c>
      <c r="D13" s="20">
        <f>D9*0.1</f>
        <v>18798.631106209701</v>
      </c>
      <c r="E13" s="20">
        <f t="shared" ref="E13:AA13" si="4">E9*0.1</f>
        <v>11877.309875422701</v>
      </c>
      <c r="F13" s="20">
        <f t="shared" si="4"/>
        <v>8210.3436294387484</v>
      </c>
      <c r="G13" s="20">
        <f t="shared" si="4"/>
        <v>6807.5687527672089</v>
      </c>
      <c r="H13" s="20">
        <f t="shared" si="4"/>
        <v>6314.8137002541407</v>
      </c>
      <c r="I13" s="20">
        <f t="shared" si="4"/>
        <v>9240.8376689545476</v>
      </c>
      <c r="J13" s="20">
        <f t="shared" si="4"/>
        <v>12306.466951588362</v>
      </c>
      <c r="K13" s="20">
        <f t="shared" si="4"/>
        <v>19166.258432901035</v>
      </c>
      <c r="L13" s="20">
        <f t="shared" si="4"/>
        <v>28226.126250460431</v>
      </c>
      <c r="M13" s="20">
        <f t="shared" si="4"/>
        <v>32894.631359736981</v>
      </c>
      <c r="N13" s="20">
        <f t="shared" si="4"/>
        <v>33411.171021290575</v>
      </c>
      <c r="O13" s="20">
        <f t="shared" si="4"/>
        <v>35759.12557896306</v>
      </c>
      <c r="P13" s="20">
        <f t="shared" si="4"/>
        <v>36567.802286340237</v>
      </c>
      <c r="Q13" s="20">
        <f t="shared" si="4"/>
        <v>35974.221173764148</v>
      </c>
      <c r="R13" s="20">
        <f t="shared" si="4"/>
        <v>35064.201349605682</v>
      </c>
      <c r="S13" s="20">
        <f t="shared" si="4"/>
        <v>34566.275729909888</v>
      </c>
      <c r="T13" s="20">
        <f t="shared" si="4"/>
        <v>37525.391328579703</v>
      </c>
      <c r="U13" s="20">
        <f t="shared" si="4"/>
        <v>39897.64755201096</v>
      </c>
      <c r="V13" s="20">
        <f t="shared" si="4"/>
        <v>40675.300856291833</v>
      </c>
      <c r="W13" s="20">
        <f t="shared" si="4"/>
        <v>43094.609241085833</v>
      </c>
      <c r="X13" s="20">
        <f t="shared" si="4"/>
        <v>46336.037807932087</v>
      </c>
      <c r="Y13" s="20">
        <f t="shared" si="4"/>
        <v>51705.671827185266</v>
      </c>
      <c r="Z13" s="20">
        <f t="shared" si="4"/>
        <v>43370.20047192472</v>
      </c>
      <c r="AA13" s="20">
        <f t="shared" si="4"/>
        <v>29865.196047382204</v>
      </c>
      <c r="AC13" s="11"/>
    </row>
    <row r="14" spans="2:29" hidden="1" x14ac:dyDescent="0.25">
      <c r="B14" s="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C14" s="11"/>
    </row>
    <row r="15" spans="2:29" hidden="1" x14ac:dyDescent="0.25">
      <c r="B15" s="7"/>
      <c r="C15" s="8" t="s">
        <v>35</v>
      </c>
      <c r="D15" s="22">
        <v>58171.199999999997</v>
      </c>
      <c r="E15" s="22">
        <v>36753.600000000006</v>
      </c>
      <c r="F15" s="22">
        <v>25406.400000000001</v>
      </c>
      <c r="G15" s="22">
        <v>21065.599999999995</v>
      </c>
      <c r="H15" s="22">
        <v>19540.8</v>
      </c>
      <c r="I15" s="22">
        <v>28595.199999999997</v>
      </c>
      <c r="J15" s="22">
        <v>38081.599999999999</v>
      </c>
      <c r="K15" s="22">
        <v>59308.80000000001</v>
      </c>
      <c r="L15" s="22">
        <v>87344.000000000015</v>
      </c>
      <c r="M15" s="22">
        <v>101790.39999999999</v>
      </c>
      <c r="N15" s="22">
        <v>103388.79999999999</v>
      </c>
      <c r="O15" s="22">
        <v>110654.39999999999</v>
      </c>
      <c r="P15" s="22">
        <v>113156.8</v>
      </c>
      <c r="Q15" s="22">
        <v>111320</v>
      </c>
      <c r="R15" s="22">
        <v>108504</v>
      </c>
      <c r="S15" s="22">
        <v>106963.2</v>
      </c>
      <c r="T15" s="22">
        <v>116120</v>
      </c>
      <c r="U15" s="2"/>
      <c r="V15" s="22">
        <v>125867.2</v>
      </c>
      <c r="W15" s="22">
        <v>133353.60000000001</v>
      </c>
      <c r="X15" s="22">
        <v>143384.00000000003</v>
      </c>
      <c r="Y15" s="22">
        <v>160000.00000000003</v>
      </c>
      <c r="Z15" s="22">
        <v>134206.39999999999</v>
      </c>
      <c r="AA15" s="22">
        <v>92415.999999999985</v>
      </c>
      <c r="AC15" s="11"/>
    </row>
    <row r="16" spans="2:29" hidden="1" x14ac:dyDescent="0.25">
      <c r="B16" s="7"/>
      <c r="C16" s="1" t="s">
        <v>36</v>
      </c>
      <c r="D16" s="22">
        <v>58171.199999999997</v>
      </c>
      <c r="E16" s="22">
        <v>36753.600000000006</v>
      </c>
      <c r="F16" s="22">
        <v>25406.400000000001</v>
      </c>
      <c r="G16" s="22">
        <v>21065.599999999995</v>
      </c>
      <c r="H16" s="22">
        <v>19540.8</v>
      </c>
      <c r="I16" s="22">
        <v>28595.199999999997</v>
      </c>
      <c r="J16" s="22">
        <v>38081.599999999999</v>
      </c>
      <c r="K16" s="22">
        <v>59308.80000000001</v>
      </c>
      <c r="L16" s="22">
        <v>87344.000000000015</v>
      </c>
      <c r="M16" s="22">
        <v>101790.39999999999</v>
      </c>
      <c r="N16" s="22">
        <v>103388.79999999999</v>
      </c>
      <c r="O16" s="22">
        <v>110654.39999999999</v>
      </c>
      <c r="P16" s="22">
        <v>113156.8</v>
      </c>
      <c r="Q16" s="22">
        <v>111320</v>
      </c>
      <c r="R16" s="22">
        <v>108504</v>
      </c>
      <c r="S16" s="22">
        <v>106963.2</v>
      </c>
      <c r="T16" s="22">
        <v>116120</v>
      </c>
      <c r="U16" s="2"/>
      <c r="V16" s="22">
        <v>125867.2</v>
      </c>
      <c r="W16" s="22">
        <v>133353.60000000001</v>
      </c>
      <c r="X16" s="22">
        <v>143384.00000000003</v>
      </c>
      <c r="Y16" s="22">
        <v>160000.00000000003</v>
      </c>
      <c r="Z16" s="22">
        <v>134206.39999999999</v>
      </c>
      <c r="AA16" s="22">
        <v>92415.999999999985</v>
      </c>
      <c r="AC16" s="11"/>
    </row>
    <row r="17" spans="2:29" hidden="1" x14ac:dyDescent="0.25">
      <c r="B17" s="7"/>
      <c r="C17" s="1" t="s">
        <v>37</v>
      </c>
      <c r="D17" s="22">
        <v>52782.115575161035</v>
      </c>
      <c r="E17" s="22">
        <v>33348.680498309106</v>
      </c>
      <c r="F17" s="22">
        <v>23052.705482245001</v>
      </c>
      <c r="G17" s="22">
        <v>19114.044988931157</v>
      </c>
      <c r="H17" s="22">
        <v>17730.505198983461</v>
      </c>
      <c r="I17" s="22">
        <v>25946.089324181805</v>
      </c>
      <c r="J17" s="22">
        <v>34553.652193646551</v>
      </c>
      <c r="K17" s="22">
        <v>53814.326268395896</v>
      </c>
      <c r="L17" s="22">
        <v>79252.294998158293</v>
      </c>
      <c r="M17" s="22">
        <v>92360.354561052067</v>
      </c>
      <c r="N17" s="22">
        <v>93810.675914837731</v>
      </c>
      <c r="O17" s="22">
        <v>100403.17768414783</v>
      </c>
      <c r="P17" s="22">
        <v>102673.75085463909</v>
      </c>
      <c r="Q17" s="22">
        <v>101007.11530494345</v>
      </c>
      <c r="R17" s="22">
        <v>98451.994601577302</v>
      </c>
      <c r="S17" s="22">
        <v>97053.937080360469</v>
      </c>
      <c r="T17" s="22">
        <v>105362.43468568122</v>
      </c>
      <c r="U17" s="2"/>
      <c r="V17" s="22">
        <v>114206.63657483272</v>
      </c>
      <c r="W17" s="22">
        <v>120999.48303565674</v>
      </c>
      <c r="X17" s="22">
        <v>130100.64876827177</v>
      </c>
      <c r="Y17" s="22">
        <v>145177.31269125902</v>
      </c>
      <c r="Z17" s="22">
        <v>121773.27811230115</v>
      </c>
      <c r="AA17" s="22">
        <v>83854.415810471182</v>
      </c>
      <c r="AC17" s="11"/>
    </row>
    <row r="18" spans="2:29" hidden="1" x14ac:dyDescent="0.25">
      <c r="B18" s="7"/>
      <c r="C18" s="8" t="s">
        <v>38</v>
      </c>
      <c r="D18" s="22">
        <v>4041.813318629228</v>
      </c>
      <c r="E18" s="22">
        <v>2553.6896262681739</v>
      </c>
      <c r="F18" s="22">
        <v>1765.27088831624</v>
      </c>
      <c r="G18" s="22">
        <v>1463.6662583016309</v>
      </c>
      <c r="H18" s="22">
        <v>1357.7211007624051</v>
      </c>
      <c r="I18" s="22">
        <v>1986.8330068636453</v>
      </c>
      <c r="J18" s="22">
        <v>2645.9608547650864</v>
      </c>
      <c r="K18" s="22">
        <v>4120.8552987030898</v>
      </c>
      <c r="L18" s="22">
        <v>6068.7787513812909</v>
      </c>
      <c r="M18" s="22">
        <v>7072.53407921096</v>
      </c>
      <c r="N18" s="22">
        <v>7183.5930638717009</v>
      </c>
      <c r="O18" s="22">
        <v>7688.4167368891485</v>
      </c>
      <c r="P18" s="22">
        <v>7862.2868590206808</v>
      </c>
      <c r="Q18" s="22">
        <v>7734.6635212924202</v>
      </c>
      <c r="R18" s="22">
        <v>7539.0040488170389</v>
      </c>
      <c r="S18" s="22">
        <v>7431.9471897296571</v>
      </c>
      <c r="T18" s="22">
        <v>8068.173985739093</v>
      </c>
      <c r="U18" s="2"/>
      <c r="V18" s="22">
        <v>8745.4225688754705</v>
      </c>
      <c r="W18" s="22">
        <v>9265.5877232574639</v>
      </c>
      <c r="X18" s="22">
        <v>9962.5134237961956</v>
      </c>
      <c r="Y18" s="22">
        <v>11117.015481555762</v>
      </c>
      <c r="Z18" s="22">
        <v>9324.8414157741572</v>
      </c>
      <c r="AA18" s="22">
        <v>6421.1881421466069</v>
      </c>
      <c r="AC18" s="11"/>
    </row>
    <row r="19" spans="2:29" hidden="1" x14ac:dyDescent="0.25">
      <c r="B19" s="7"/>
      <c r="C19" s="8" t="s">
        <v>39</v>
      </c>
      <c r="D19" s="22">
        <v>10778.168849677942</v>
      </c>
      <c r="E19" s="22">
        <v>6809.8390033817977</v>
      </c>
      <c r="F19" s="22">
        <v>4707.3890355099702</v>
      </c>
      <c r="G19" s="22">
        <v>3903.1100221376832</v>
      </c>
      <c r="H19" s="22">
        <v>3620.5896020330802</v>
      </c>
      <c r="I19" s="22">
        <v>5298.2213516363872</v>
      </c>
      <c r="J19" s="22">
        <v>7055.8956127068968</v>
      </c>
      <c r="K19" s="22">
        <v>10988.947463208238</v>
      </c>
      <c r="L19" s="22">
        <v>16183.410003683441</v>
      </c>
      <c r="M19" s="22">
        <v>18860.090877895895</v>
      </c>
      <c r="N19" s="22">
        <v>19156.248170324532</v>
      </c>
      <c r="O19" s="22">
        <v>20502.444631704398</v>
      </c>
      <c r="P19" s="22">
        <v>20966.098290721813</v>
      </c>
      <c r="Q19" s="22">
        <v>20625.769390113121</v>
      </c>
      <c r="R19" s="22">
        <v>20104.010796845436</v>
      </c>
      <c r="S19" s="22">
        <v>19818.525839279086</v>
      </c>
      <c r="T19" s="22">
        <v>21515.130628637584</v>
      </c>
      <c r="U19" s="2"/>
      <c r="V19" s="22">
        <v>23321.126850334589</v>
      </c>
      <c r="W19" s="22">
        <v>24708.233928686572</v>
      </c>
      <c r="X19" s="22">
        <v>26566.702463456524</v>
      </c>
      <c r="Y19" s="22">
        <v>29645.374617482026</v>
      </c>
      <c r="Z19" s="22">
        <v>24866.243775397754</v>
      </c>
      <c r="AA19" s="22">
        <v>17123.168379057617</v>
      </c>
      <c r="AC19" s="11"/>
    </row>
    <row r="20" spans="2:29" hidden="1" x14ac:dyDescent="0.25">
      <c r="B20" s="7"/>
      <c r="C20" s="8" t="s">
        <v>40</v>
      </c>
      <c r="D20" s="22">
        <v>4041.813318629228</v>
      </c>
      <c r="E20" s="22">
        <v>2553.6896262681739</v>
      </c>
      <c r="F20" s="22">
        <v>1765.27088831624</v>
      </c>
      <c r="G20" s="22">
        <v>1463.6662583016309</v>
      </c>
      <c r="H20" s="22">
        <v>1357.7211007624051</v>
      </c>
      <c r="I20" s="22">
        <v>1986.8330068636453</v>
      </c>
      <c r="J20" s="22">
        <v>2645.9608547650864</v>
      </c>
      <c r="K20" s="22">
        <v>4120.8552987030898</v>
      </c>
      <c r="L20" s="22">
        <v>6068.7787513812909</v>
      </c>
      <c r="M20" s="22">
        <v>7072.53407921096</v>
      </c>
      <c r="N20" s="22">
        <v>7183.5930638717009</v>
      </c>
      <c r="O20" s="22">
        <v>7688.4167368891485</v>
      </c>
      <c r="P20" s="22">
        <v>7862.2868590206808</v>
      </c>
      <c r="Q20" s="22">
        <v>7734.6635212924202</v>
      </c>
      <c r="R20" s="22">
        <v>7539.0040488170389</v>
      </c>
      <c r="S20" s="22">
        <v>7431.9471897296571</v>
      </c>
      <c r="T20" s="22">
        <v>8068.173985739093</v>
      </c>
      <c r="U20" s="2"/>
      <c r="V20" s="22">
        <v>8745.4225688754705</v>
      </c>
      <c r="W20" s="22">
        <v>9265.5877232574639</v>
      </c>
      <c r="X20" s="22">
        <v>9962.5134237961956</v>
      </c>
      <c r="Y20" s="22">
        <v>11117.015481555762</v>
      </c>
      <c r="Z20" s="22">
        <v>9324.8414157741572</v>
      </c>
      <c r="AA20" s="22">
        <v>6421.1881421466069</v>
      </c>
      <c r="AC20" s="11"/>
    </row>
    <row r="21" spans="2:29" hidden="1" x14ac:dyDescent="0.25">
      <c r="B21" s="7"/>
      <c r="C21" s="8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2"/>
      <c r="V21" s="44"/>
      <c r="W21" s="44"/>
      <c r="X21" s="44"/>
      <c r="Y21" s="44"/>
      <c r="Z21" s="44"/>
      <c r="AA21" s="44"/>
      <c r="AC21" s="11"/>
    </row>
    <row r="22" spans="2:29" hidden="1" x14ac:dyDescent="0.25">
      <c r="B22" s="7"/>
      <c r="C22" s="1" t="s">
        <v>31</v>
      </c>
      <c r="D22" s="47">
        <v>77783</v>
      </c>
      <c r="E22" s="45">
        <v>48805</v>
      </c>
      <c r="F22" s="45">
        <v>32057</v>
      </c>
      <c r="G22" s="45">
        <v>27853</v>
      </c>
      <c r="H22" s="45">
        <v>25996</v>
      </c>
      <c r="I22" s="45">
        <v>37325</v>
      </c>
      <c r="J22" s="45">
        <v>50026</v>
      </c>
      <c r="K22" s="45">
        <v>77185</v>
      </c>
      <c r="L22" s="45">
        <v>113362</v>
      </c>
      <c r="M22" s="45">
        <v>131445</v>
      </c>
      <c r="N22" s="45">
        <v>133685</v>
      </c>
      <c r="O22" s="45">
        <v>145231</v>
      </c>
      <c r="P22" s="45">
        <v>148947</v>
      </c>
      <c r="Q22" s="45">
        <v>145180</v>
      </c>
      <c r="R22" s="45">
        <v>144295</v>
      </c>
      <c r="S22" s="45">
        <v>138586</v>
      </c>
      <c r="T22" s="45">
        <v>152315</v>
      </c>
      <c r="U22" s="45">
        <v>158799</v>
      </c>
      <c r="V22" s="45">
        <v>162187</v>
      </c>
      <c r="W22" s="45">
        <v>177357</v>
      </c>
      <c r="X22" s="45">
        <v>184291</v>
      </c>
      <c r="Y22" s="45">
        <v>206349</v>
      </c>
      <c r="Z22" s="45">
        <v>177428</v>
      </c>
      <c r="AA22" s="45">
        <v>120162</v>
      </c>
      <c r="AC22" s="11"/>
    </row>
    <row r="23" spans="2:29" hidden="1" x14ac:dyDescent="0.25">
      <c r="B23" s="7"/>
      <c r="C23" s="1" t="s">
        <v>32</v>
      </c>
      <c r="D23" s="47">
        <v>57288</v>
      </c>
      <c r="E23" s="45">
        <v>34578</v>
      </c>
      <c r="F23" s="45">
        <v>25380</v>
      </c>
      <c r="G23" s="45">
        <v>20393</v>
      </c>
      <c r="H23" s="45">
        <v>20458</v>
      </c>
      <c r="I23" s="45">
        <v>29179</v>
      </c>
      <c r="J23" s="45">
        <v>36254</v>
      </c>
      <c r="K23" s="45">
        <v>56810</v>
      </c>
      <c r="L23" s="45">
        <v>84278</v>
      </c>
      <c r="M23" s="45">
        <v>96422</v>
      </c>
      <c r="N23" s="45">
        <v>100586</v>
      </c>
      <c r="O23" s="45">
        <v>107779</v>
      </c>
      <c r="P23" s="45">
        <v>108135</v>
      </c>
      <c r="Q23" s="45">
        <v>108108</v>
      </c>
      <c r="R23" s="45">
        <v>107887</v>
      </c>
      <c r="S23" s="45">
        <v>103179</v>
      </c>
      <c r="T23" s="45">
        <v>113070</v>
      </c>
      <c r="U23" s="45">
        <v>119401</v>
      </c>
      <c r="V23" s="45">
        <v>121549</v>
      </c>
      <c r="W23" s="45">
        <v>130519</v>
      </c>
      <c r="X23" s="45">
        <v>139332</v>
      </c>
      <c r="Y23" s="45">
        <v>159302</v>
      </c>
      <c r="Z23" s="45">
        <v>129822</v>
      </c>
      <c r="AA23" s="45">
        <v>92042</v>
      </c>
      <c r="AC23" s="11"/>
    </row>
    <row r="24" spans="2:29" hidden="1" x14ac:dyDescent="0.25">
      <c r="B24" s="7"/>
      <c r="C24" s="21" t="s">
        <v>33</v>
      </c>
      <c r="D24" s="47">
        <v>37766</v>
      </c>
      <c r="E24" s="45">
        <v>24068</v>
      </c>
      <c r="F24" s="45">
        <v>16669</v>
      </c>
      <c r="G24" s="45">
        <v>13803</v>
      </c>
      <c r="H24" s="45">
        <v>11811</v>
      </c>
      <c r="I24" s="45">
        <v>18971</v>
      </c>
      <c r="J24" s="45">
        <v>25104</v>
      </c>
      <c r="K24" s="45">
        <v>37259</v>
      </c>
      <c r="L24" s="45">
        <v>55673</v>
      </c>
      <c r="M24" s="45">
        <v>64380</v>
      </c>
      <c r="N24" s="45">
        <v>64339</v>
      </c>
      <c r="O24" s="45">
        <v>70548</v>
      </c>
      <c r="P24" s="45">
        <v>72873</v>
      </c>
      <c r="Q24" s="45">
        <v>71869</v>
      </c>
      <c r="R24" s="45">
        <v>70441</v>
      </c>
      <c r="S24" s="45">
        <v>69248</v>
      </c>
      <c r="T24" s="45">
        <v>74767</v>
      </c>
      <c r="U24" s="45">
        <v>80742</v>
      </c>
      <c r="V24" s="45">
        <v>81697</v>
      </c>
      <c r="W24" s="45">
        <v>85247</v>
      </c>
      <c r="X24" s="45">
        <v>93039</v>
      </c>
      <c r="Y24" s="45">
        <v>102703</v>
      </c>
      <c r="Z24" s="45">
        <v>85676</v>
      </c>
      <c r="AA24" s="45">
        <v>58669</v>
      </c>
      <c r="AC24" s="11"/>
    </row>
    <row r="25" spans="2:29" hidden="1" x14ac:dyDescent="0.25">
      <c r="B25" s="7"/>
      <c r="C25" s="1" t="s">
        <v>34</v>
      </c>
      <c r="D25" s="47">
        <v>19166</v>
      </c>
      <c r="E25" s="45">
        <v>10777</v>
      </c>
      <c r="F25" s="45">
        <v>8695</v>
      </c>
      <c r="G25" s="45">
        <v>6885</v>
      </c>
      <c r="H25" s="45">
        <v>6327</v>
      </c>
      <c r="I25" s="45">
        <v>9845</v>
      </c>
      <c r="J25" s="45">
        <v>13673</v>
      </c>
      <c r="K25" s="45">
        <v>20124</v>
      </c>
      <c r="L25" s="45">
        <v>30755</v>
      </c>
      <c r="M25" s="45">
        <v>32558</v>
      </c>
      <c r="N25" s="45">
        <v>32293</v>
      </c>
      <c r="O25" s="45">
        <v>35863</v>
      </c>
      <c r="P25" s="45">
        <v>37461</v>
      </c>
      <c r="Q25" s="45">
        <v>35972</v>
      </c>
      <c r="R25" s="45">
        <v>37533</v>
      </c>
      <c r="S25" s="45">
        <v>35415</v>
      </c>
      <c r="T25" s="45">
        <v>38455</v>
      </c>
      <c r="U25" s="45">
        <v>43146</v>
      </c>
      <c r="V25" s="45">
        <v>43877</v>
      </c>
      <c r="W25" s="45">
        <v>39915</v>
      </c>
      <c r="X25" s="45">
        <v>46678</v>
      </c>
      <c r="Y25" s="45">
        <v>51106</v>
      </c>
      <c r="Z25" s="45">
        <v>42765</v>
      </c>
      <c r="AA25" s="45">
        <v>29710</v>
      </c>
      <c r="AC25" s="11"/>
    </row>
    <row r="26" spans="2:29" hidden="1" x14ac:dyDescent="0.25">
      <c r="B26" s="7"/>
      <c r="C26" s="8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2"/>
      <c r="V26" s="44"/>
      <c r="W26" s="44"/>
      <c r="X26" s="44"/>
      <c r="Y26" s="44"/>
      <c r="Z26" s="44"/>
      <c r="AA26" s="44"/>
      <c r="AC26" s="11"/>
    </row>
    <row r="27" spans="2:29" x14ac:dyDescent="0.25">
      <c r="B27" s="7"/>
      <c r="C27" s="8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"/>
      <c r="V27" s="23"/>
      <c r="W27" s="23"/>
      <c r="X27" s="23"/>
      <c r="Y27" s="23"/>
      <c r="Z27" s="23"/>
      <c r="AA27" s="23"/>
      <c r="AC27" s="11"/>
    </row>
    <row r="28" spans="2:29" x14ac:dyDescent="0.25">
      <c r="B28" s="7"/>
      <c r="D28" s="10" t="s">
        <v>2</v>
      </c>
      <c r="E28" s="10" t="s">
        <v>3</v>
      </c>
      <c r="F28" s="10" t="s">
        <v>4</v>
      </c>
      <c r="G28" s="10" t="s">
        <v>5</v>
      </c>
      <c r="H28" s="10" t="s">
        <v>6</v>
      </c>
      <c r="I28" s="10" t="s">
        <v>7</v>
      </c>
      <c r="J28" s="10" t="s">
        <v>8</v>
      </c>
      <c r="K28" s="10" t="s">
        <v>9</v>
      </c>
      <c r="L28" s="10" t="s">
        <v>10</v>
      </c>
      <c r="M28" s="10" t="s">
        <v>11</v>
      </c>
      <c r="N28" s="10" t="s">
        <v>12</v>
      </c>
      <c r="O28" s="10" t="s">
        <v>13</v>
      </c>
      <c r="P28" s="10" t="s">
        <v>14</v>
      </c>
      <c r="Q28" s="10" t="s">
        <v>15</v>
      </c>
      <c r="R28" s="10" t="s">
        <v>16</v>
      </c>
      <c r="S28" s="10" t="s">
        <v>17</v>
      </c>
      <c r="T28" s="10" t="s">
        <v>18</v>
      </c>
      <c r="U28" s="10" t="s">
        <v>19</v>
      </c>
      <c r="V28" s="10" t="s">
        <v>20</v>
      </c>
      <c r="W28" s="10" t="s">
        <v>21</v>
      </c>
      <c r="X28" s="10" t="s">
        <v>22</v>
      </c>
      <c r="Y28" s="10" t="s">
        <v>23</v>
      </c>
      <c r="Z28" s="10" t="s">
        <v>24</v>
      </c>
      <c r="AA28" s="10" t="s">
        <v>25</v>
      </c>
      <c r="AC28" s="11"/>
    </row>
    <row r="29" spans="2:29" ht="30.75" customHeight="1" x14ac:dyDescent="0.25">
      <c r="B29" s="7"/>
      <c r="C29" s="24" t="s">
        <v>41</v>
      </c>
      <c r="D29" s="25" t="s">
        <v>42</v>
      </c>
      <c r="E29" s="126"/>
      <c r="F29" s="127"/>
      <c r="G29" s="128"/>
      <c r="H29" s="26"/>
      <c r="I29" s="26"/>
      <c r="J29" s="25" t="s">
        <v>43</v>
      </c>
      <c r="K29" s="25" t="s">
        <v>44</v>
      </c>
      <c r="L29" s="25"/>
      <c r="M29" s="25" t="s">
        <v>43</v>
      </c>
      <c r="N29" s="25" t="s">
        <v>43</v>
      </c>
      <c r="O29" s="25" t="s">
        <v>43</v>
      </c>
      <c r="P29" s="129" t="s">
        <v>44</v>
      </c>
      <c r="Q29" s="116"/>
      <c r="R29" s="25" t="s">
        <v>43</v>
      </c>
      <c r="S29" s="25" t="s">
        <v>43</v>
      </c>
      <c r="T29" s="25" t="s">
        <v>43</v>
      </c>
      <c r="U29" s="48" t="s">
        <v>44</v>
      </c>
      <c r="V29" s="114" t="s">
        <v>45</v>
      </c>
      <c r="W29" s="114"/>
      <c r="X29" s="114" t="s">
        <v>46</v>
      </c>
      <c r="Y29" s="114"/>
      <c r="Z29" s="115" t="s">
        <v>43</v>
      </c>
      <c r="AA29" s="116"/>
      <c r="AC29" s="11"/>
    </row>
    <row r="30" spans="2:29" ht="23.25" customHeight="1" x14ac:dyDescent="0.25">
      <c r="B30" s="7"/>
      <c r="C30" s="24" t="s">
        <v>47</v>
      </c>
      <c r="D30" s="15">
        <v>187986.311062097</v>
      </c>
      <c r="E30" s="27"/>
      <c r="F30" s="27"/>
      <c r="G30" s="27"/>
      <c r="H30" s="27"/>
      <c r="I30" s="27"/>
      <c r="J30" s="15">
        <f>SUM(E9:J9)</f>
        <v>547573.40578425699</v>
      </c>
      <c r="K30" s="28">
        <f>K9</f>
        <v>191662.58432901034</v>
      </c>
      <c r="L30" s="27"/>
      <c r="M30" s="15">
        <f>SUM(L9:M9)</f>
        <v>611207.57610197412</v>
      </c>
      <c r="N30" s="15">
        <f>N9</f>
        <v>334111.71021290572</v>
      </c>
      <c r="O30" s="15">
        <f>O9</f>
        <v>357591.25578963058</v>
      </c>
      <c r="P30" s="28">
        <f>P9</f>
        <v>365678.02286340232</v>
      </c>
      <c r="Q30" s="27"/>
      <c r="R30" s="15">
        <f>SUM(Q9:R9)</f>
        <v>710384.22523369826</v>
      </c>
      <c r="S30" s="15">
        <f>S9</f>
        <v>345662.75729909888</v>
      </c>
      <c r="T30" s="15">
        <f>T9</f>
        <v>375253.913285797</v>
      </c>
      <c r="U30" s="28">
        <f>U9</f>
        <v>398976.47552010958</v>
      </c>
      <c r="V30" s="27"/>
      <c r="W30" s="28">
        <f>SUM(U9:V9)</f>
        <v>805729.48408302781</v>
      </c>
      <c r="X30" s="27"/>
      <c r="Y30" s="28">
        <f>SUM(X9:Y9)</f>
        <v>980417.09635117347</v>
      </c>
      <c r="Z30" s="27"/>
      <c r="AA30" s="15">
        <f>SUM(Z9:AA9)</f>
        <v>732353.96519306919</v>
      </c>
      <c r="AC30" s="11"/>
    </row>
    <row r="31" spans="2:29" ht="33.75" customHeight="1" x14ac:dyDescent="0.25">
      <c r="B31" s="7"/>
      <c r="C31" s="29" t="s">
        <v>48</v>
      </c>
      <c r="D31" s="15">
        <f>D30+AA30</f>
        <v>920340.27625516616</v>
      </c>
      <c r="E31" s="2"/>
      <c r="F31" s="2"/>
      <c r="G31" s="2"/>
      <c r="H31" s="2"/>
      <c r="I31" s="2"/>
      <c r="J31" s="2"/>
      <c r="K31" s="30">
        <f>K30+J30</f>
        <v>739235.99011326733</v>
      </c>
      <c r="L31" s="2"/>
      <c r="M31" s="2"/>
      <c r="N31" s="2"/>
      <c r="O31" s="2"/>
      <c r="P31" s="30">
        <f>SUM(M30:P30)</f>
        <v>1668588.5649679126</v>
      </c>
      <c r="Q31" s="31"/>
      <c r="R31" s="31"/>
      <c r="S31" s="31"/>
      <c r="T31" s="31"/>
      <c r="U31" s="30">
        <f>SUM(R30:U30)</f>
        <v>1830277.3713387037</v>
      </c>
      <c r="V31" s="31"/>
      <c r="W31" s="30">
        <f>W30</f>
        <v>805729.48408302781</v>
      </c>
      <c r="X31" s="31"/>
      <c r="Y31" s="30">
        <f>Y30</f>
        <v>980417.09635117347</v>
      </c>
      <c r="Z31" s="31"/>
      <c r="AA31" s="31"/>
      <c r="AC31" s="11"/>
    </row>
    <row r="32" spans="2:29" x14ac:dyDescent="0.25">
      <c r="B32" s="7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3"/>
      <c r="Q32" s="2"/>
      <c r="R32" s="2"/>
      <c r="S32" s="2"/>
      <c r="T32" s="2"/>
      <c r="U32" s="23"/>
      <c r="V32" s="2"/>
      <c r="W32" s="23"/>
      <c r="X32" s="2"/>
      <c r="Y32" s="23"/>
      <c r="Z32" s="2"/>
      <c r="AA32" s="2"/>
      <c r="AC32" s="11"/>
    </row>
    <row r="33" spans="2:29" ht="41.25" customHeight="1" x14ac:dyDescent="0.25">
      <c r="B33" s="7"/>
      <c r="C33" s="32" t="s">
        <v>61</v>
      </c>
      <c r="D33" s="33"/>
      <c r="E33" s="118"/>
      <c r="F33" s="119"/>
      <c r="G33" s="119"/>
      <c r="H33" s="119"/>
      <c r="I33" s="120"/>
      <c r="J33" s="37" t="s">
        <v>62</v>
      </c>
      <c r="K33" s="34" t="s">
        <v>63</v>
      </c>
      <c r="L33" s="118"/>
      <c r="M33" s="119"/>
      <c r="N33" s="120"/>
      <c r="O33" s="35" t="s">
        <v>64</v>
      </c>
      <c r="P33" s="46" t="s">
        <v>65</v>
      </c>
      <c r="Q33" s="121"/>
      <c r="R33" s="122"/>
      <c r="S33" s="123"/>
      <c r="T33" s="35" t="s">
        <v>66</v>
      </c>
      <c r="U33" s="50"/>
      <c r="V33" s="117"/>
      <c r="W33" s="117"/>
      <c r="X33" s="117"/>
      <c r="Y33" s="117"/>
      <c r="Z33" s="117"/>
      <c r="AA33" s="117"/>
      <c r="AC33" s="11"/>
    </row>
    <row r="34" spans="2:29" ht="41.25" customHeight="1" x14ac:dyDescent="0.25">
      <c r="B34" s="7"/>
      <c r="C34" s="32" t="s">
        <v>67</v>
      </c>
      <c r="D34" s="33" t="s">
        <v>443</v>
      </c>
      <c r="E34" s="118"/>
      <c r="F34" s="119"/>
      <c r="G34" s="119"/>
      <c r="H34" s="119"/>
      <c r="I34" s="120"/>
      <c r="J34" s="37"/>
      <c r="K34" s="36"/>
      <c r="L34" s="118"/>
      <c r="M34" s="119"/>
      <c r="N34" s="120"/>
      <c r="O34" s="35"/>
      <c r="P34" s="46"/>
      <c r="Q34" s="121"/>
      <c r="R34" s="122"/>
      <c r="S34" s="123"/>
      <c r="T34" s="35"/>
      <c r="U34" s="50" t="s">
        <v>433</v>
      </c>
      <c r="V34" s="117" t="s">
        <v>434</v>
      </c>
      <c r="W34" s="117"/>
      <c r="X34" s="117" t="s">
        <v>49</v>
      </c>
      <c r="Y34" s="117"/>
      <c r="Z34" s="117" t="s">
        <v>435</v>
      </c>
      <c r="AA34" s="117"/>
      <c r="AC34" s="11"/>
    </row>
    <row r="35" spans="2:29" ht="41.25" customHeight="1" x14ac:dyDescent="0.25">
      <c r="B35" s="7"/>
      <c r="C35" s="32" t="s">
        <v>445</v>
      </c>
      <c r="D35" s="33" t="s">
        <v>442</v>
      </c>
      <c r="E35" s="118"/>
      <c r="F35" s="119"/>
      <c r="G35" s="119"/>
      <c r="H35" s="119"/>
      <c r="I35" s="120"/>
      <c r="J35" s="37"/>
      <c r="K35" s="36"/>
      <c r="L35" s="118"/>
      <c r="M35" s="119"/>
      <c r="N35" s="120"/>
      <c r="O35" s="35"/>
      <c r="P35" s="46"/>
      <c r="Q35" s="121"/>
      <c r="R35" s="122"/>
      <c r="S35" s="123"/>
      <c r="T35" s="35"/>
      <c r="U35" s="50" t="s">
        <v>439</v>
      </c>
      <c r="V35" s="117" t="s">
        <v>440</v>
      </c>
      <c r="W35" s="117"/>
      <c r="X35" s="117" t="s">
        <v>441</v>
      </c>
      <c r="Y35" s="117"/>
      <c r="Z35" s="117" t="s">
        <v>64</v>
      </c>
      <c r="AA35" s="117"/>
      <c r="AC35" s="11"/>
    </row>
    <row r="36" spans="2:29" ht="41.25" customHeight="1" x14ac:dyDescent="0.25">
      <c r="B36" s="7"/>
      <c r="C36" s="32" t="s">
        <v>446</v>
      </c>
      <c r="D36" s="49" t="s">
        <v>450</v>
      </c>
      <c r="E36" s="100"/>
      <c r="F36" s="101"/>
      <c r="G36" s="101"/>
      <c r="H36" s="101"/>
      <c r="I36" s="102"/>
      <c r="J36" s="103"/>
      <c r="K36" s="104"/>
      <c r="L36" s="100"/>
      <c r="M36" s="101"/>
      <c r="N36" s="102"/>
      <c r="O36" s="105"/>
      <c r="P36" s="106"/>
      <c r="Q36" s="107"/>
      <c r="R36" s="108"/>
      <c r="S36" s="109"/>
      <c r="T36" s="105"/>
      <c r="U36" s="50" t="s">
        <v>449</v>
      </c>
      <c r="V36" s="117" t="s">
        <v>448</v>
      </c>
      <c r="W36" s="117"/>
      <c r="X36" s="117" t="s">
        <v>447</v>
      </c>
      <c r="Y36" s="117"/>
      <c r="Z36" s="117" t="s">
        <v>64</v>
      </c>
      <c r="AA36" s="117"/>
      <c r="AC36" s="11"/>
    </row>
    <row r="37" spans="2:29" ht="16.5" thickBot="1" x14ac:dyDescent="0.3">
      <c r="B37" s="38"/>
      <c r="C37" s="39"/>
      <c r="D37" s="39"/>
      <c r="E37" s="130" t="s">
        <v>50</v>
      </c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39"/>
      <c r="V37" s="39"/>
      <c r="W37" s="39"/>
      <c r="X37" s="39"/>
      <c r="Y37" s="39"/>
      <c r="Z37" s="39"/>
      <c r="AA37" s="39"/>
      <c r="AB37" s="40"/>
      <c r="AC37" s="41"/>
    </row>
    <row r="38" spans="2:29" x14ac:dyDescent="0.25"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</row>
    <row r="56" spans="3:28" x14ac:dyDescent="0.25">
      <c r="C56" s="8" t="s">
        <v>51</v>
      </c>
      <c r="D56" s="20">
        <v>58171.199999999997</v>
      </c>
      <c r="E56" s="20">
        <v>36753.599999999999</v>
      </c>
      <c r="F56" s="20">
        <v>25406.400000000001</v>
      </c>
      <c r="G56" s="20">
        <v>21065.599999999999</v>
      </c>
      <c r="H56" s="20">
        <v>19540.8</v>
      </c>
      <c r="I56" s="20">
        <v>28595.199999999997</v>
      </c>
      <c r="J56" s="20">
        <v>38081.599999999999</v>
      </c>
      <c r="K56" s="20">
        <v>59308.800000000003</v>
      </c>
      <c r="L56" s="20">
        <v>87344</v>
      </c>
      <c r="M56" s="20">
        <v>101790.39999999999</v>
      </c>
      <c r="N56" s="20">
        <v>103388.79999999999</v>
      </c>
      <c r="O56" s="20">
        <v>110654.39999999999</v>
      </c>
      <c r="P56" s="20">
        <v>113156.79999999999</v>
      </c>
      <c r="Q56" s="20">
        <v>111320</v>
      </c>
      <c r="R56" s="20">
        <v>108504</v>
      </c>
      <c r="S56" s="20">
        <v>106963.2</v>
      </c>
      <c r="T56" s="20">
        <v>116120</v>
      </c>
      <c r="U56" s="20">
        <v>123460.79999999999</v>
      </c>
      <c r="V56" s="20">
        <v>125867.2</v>
      </c>
      <c r="W56" s="20">
        <v>133353.60000000001</v>
      </c>
      <c r="X56" s="20">
        <v>143384</v>
      </c>
      <c r="Y56" s="20">
        <v>160000</v>
      </c>
      <c r="Z56" s="20">
        <v>134206.39999999999</v>
      </c>
      <c r="AA56" s="20">
        <v>92416</v>
      </c>
      <c r="AB56" s="2">
        <v>2158852.7999999998</v>
      </c>
    </row>
    <row r="57" spans="3:28" x14ac:dyDescent="0.25">
      <c r="C57" s="1" t="s">
        <v>52</v>
      </c>
      <c r="D57" s="20">
        <v>187986.311062097</v>
      </c>
      <c r="E57" s="20">
        <v>118773.09875422726</v>
      </c>
      <c r="F57" s="20">
        <v>82103.436294387473</v>
      </c>
      <c r="G57" s="20">
        <v>68075.687527672082</v>
      </c>
      <c r="H57" s="20">
        <v>63148.137002541356</v>
      </c>
      <c r="I57" s="20">
        <v>92408.376689545476</v>
      </c>
      <c r="J57" s="20">
        <v>123064.66951588361</v>
      </c>
      <c r="K57" s="20">
        <v>191662.58432901034</v>
      </c>
      <c r="L57" s="20">
        <v>282261.2625046043</v>
      </c>
      <c r="M57" s="20">
        <v>328946.31359736982</v>
      </c>
      <c r="N57" s="20">
        <v>334111.71021290572</v>
      </c>
      <c r="O57" s="20">
        <v>357591.25578963058</v>
      </c>
      <c r="P57" s="20">
        <v>365678.02286340232</v>
      </c>
      <c r="Q57" s="20">
        <v>359742.21173764148</v>
      </c>
      <c r="R57" s="20">
        <v>350642.01349605678</v>
      </c>
      <c r="S57" s="20">
        <v>345662.75729909888</v>
      </c>
      <c r="T57" s="20">
        <v>375253.913285797</v>
      </c>
      <c r="U57" s="20">
        <v>398976.47552010958</v>
      </c>
      <c r="V57" s="20">
        <v>406753.00856291829</v>
      </c>
      <c r="W57" s="20">
        <v>430946.09241085831</v>
      </c>
      <c r="X57" s="20">
        <v>463360.37807932083</v>
      </c>
      <c r="Y57" s="20">
        <v>517056.71827185265</v>
      </c>
      <c r="Z57" s="20">
        <v>433702.00471924717</v>
      </c>
      <c r="AA57" s="20">
        <v>298651.96047382202</v>
      </c>
    </row>
    <row r="58" spans="3:28" x14ac:dyDescent="0.25"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66" spans="3:28" x14ac:dyDescent="0.25">
      <c r="C66" s="8">
        <v>44162</v>
      </c>
      <c r="D66" s="1">
        <v>36357</v>
      </c>
      <c r="E66" s="1">
        <v>22971</v>
      </c>
      <c r="F66" s="1">
        <v>15879</v>
      </c>
      <c r="G66" s="1">
        <v>13166</v>
      </c>
      <c r="H66" s="1">
        <v>12213</v>
      </c>
      <c r="I66" s="1">
        <v>17872</v>
      </c>
      <c r="J66" s="1">
        <v>23801</v>
      </c>
      <c r="K66" s="1">
        <v>37068</v>
      </c>
      <c r="L66" s="1">
        <v>54590</v>
      </c>
      <c r="M66" s="1">
        <v>63619</v>
      </c>
      <c r="N66" s="1">
        <v>64618</v>
      </c>
      <c r="O66" s="1">
        <v>69159</v>
      </c>
      <c r="P66" s="1">
        <v>70723</v>
      </c>
      <c r="Q66" s="1">
        <v>69575</v>
      </c>
      <c r="R66" s="1">
        <v>67815</v>
      </c>
      <c r="S66" s="1">
        <v>66852</v>
      </c>
      <c r="T66" s="1">
        <v>72575</v>
      </c>
      <c r="U66" s="1">
        <v>77163</v>
      </c>
      <c r="V66" s="1">
        <v>78667</v>
      </c>
      <c r="W66" s="1">
        <v>83346</v>
      </c>
      <c r="X66" s="1">
        <v>89615</v>
      </c>
      <c r="Y66" s="1">
        <v>89910</v>
      </c>
      <c r="Z66" s="1">
        <v>83879</v>
      </c>
      <c r="AA66" s="1">
        <v>57760</v>
      </c>
      <c r="AB66" s="2">
        <v>1339193</v>
      </c>
    </row>
    <row r="67" spans="3:28" x14ac:dyDescent="0.25">
      <c r="C67" s="8"/>
    </row>
    <row r="68" spans="3:28" x14ac:dyDescent="0.25">
      <c r="C68" s="8">
        <v>44527</v>
      </c>
      <c r="D68" s="1">
        <v>58171.199999999997</v>
      </c>
      <c r="E68" s="1">
        <v>36753.599999999999</v>
      </c>
      <c r="F68" s="1">
        <v>25406.400000000001</v>
      </c>
      <c r="G68" s="1">
        <v>21065.599999999999</v>
      </c>
      <c r="H68" s="1">
        <v>19540.8</v>
      </c>
      <c r="I68" s="1">
        <v>28595.199999999997</v>
      </c>
      <c r="J68" s="1">
        <v>38081.599999999999</v>
      </c>
      <c r="K68" s="1">
        <v>59308.800000000003</v>
      </c>
      <c r="L68" s="1">
        <v>87344</v>
      </c>
      <c r="M68" s="1">
        <v>101790.39999999999</v>
      </c>
      <c r="N68" s="1">
        <v>103388.79999999999</v>
      </c>
      <c r="O68" s="1">
        <v>110654.39999999999</v>
      </c>
      <c r="P68" s="1">
        <v>113156.79999999999</v>
      </c>
      <c r="Q68" s="1">
        <v>111320</v>
      </c>
      <c r="R68" s="1">
        <v>108504</v>
      </c>
      <c r="S68" s="1">
        <v>106963.2</v>
      </c>
      <c r="T68" s="1">
        <v>116120</v>
      </c>
      <c r="U68" s="1">
        <v>123460.79999999999</v>
      </c>
      <c r="V68" s="1">
        <v>125867.2</v>
      </c>
      <c r="W68" s="1">
        <v>133353.60000000001</v>
      </c>
      <c r="X68" s="1">
        <v>143384</v>
      </c>
      <c r="Y68" s="1">
        <v>160000</v>
      </c>
      <c r="Z68" s="1">
        <v>134206.39999999999</v>
      </c>
      <c r="AA68" s="1">
        <v>92416</v>
      </c>
      <c r="AB68" s="2">
        <v>2158852.7999999998</v>
      </c>
    </row>
    <row r="69" spans="3:28" x14ac:dyDescent="0.25">
      <c r="C69" s="8"/>
    </row>
    <row r="70" spans="3:28" x14ac:dyDescent="0.25">
      <c r="C70" s="8"/>
    </row>
    <row r="71" spans="3:28" x14ac:dyDescent="0.25">
      <c r="C71" s="8" t="s">
        <v>53</v>
      </c>
    </row>
    <row r="72" spans="3:28" x14ac:dyDescent="0.25">
      <c r="C72" s="8"/>
    </row>
    <row r="73" spans="3:28" x14ac:dyDescent="0.25">
      <c r="C73" s="8">
        <v>44527</v>
      </c>
      <c r="D73" s="1">
        <v>58171.199999999997</v>
      </c>
      <c r="E73" s="1">
        <v>36753.599999999999</v>
      </c>
      <c r="F73" s="1">
        <v>25406.400000000001</v>
      </c>
      <c r="G73" s="1">
        <v>21065.599999999999</v>
      </c>
      <c r="H73" s="1">
        <v>19540.8</v>
      </c>
      <c r="I73" s="1">
        <v>28595.199999999997</v>
      </c>
      <c r="J73" s="1">
        <v>38081.599999999999</v>
      </c>
      <c r="K73" s="1">
        <v>59308.800000000003</v>
      </c>
      <c r="L73" s="1">
        <v>87344</v>
      </c>
      <c r="M73" s="1">
        <v>101790.39999999999</v>
      </c>
      <c r="N73" s="1">
        <v>103388.79999999999</v>
      </c>
      <c r="O73" s="1">
        <v>110654.39999999999</v>
      </c>
      <c r="P73" s="1">
        <v>113156.79999999999</v>
      </c>
      <c r="Q73" s="1">
        <v>111320</v>
      </c>
      <c r="R73" s="1">
        <v>108504</v>
      </c>
      <c r="S73" s="1">
        <v>106963.2</v>
      </c>
      <c r="T73" s="1">
        <v>116120</v>
      </c>
      <c r="U73" s="1">
        <v>123460.79999999999</v>
      </c>
      <c r="V73" s="1">
        <v>125867.2</v>
      </c>
      <c r="W73" s="1">
        <v>133353.60000000001</v>
      </c>
      <c r="X73" s="1">
        <v>143384</v>
      </c>
      <c r="Y73" s="1">
        <v>160000</v>
      </c>
      <c r="Z73" s="1">
        <v>134206.39999999999</v>
      </c>
      <c r="AA73" s="1">
        <v>92416</v>
      </c>
      <c r="AB73" s="2">
        <v>2158852.7999999998</v>
      </c>
    </row>
    <row r="74" spans="3:28" x14ac:dyDescent="0.25">
      <c r="C74" s="8" t="s">
        <v>54</v>
      </c>
      <c r="D74" s="1">
        <f>SUM(D73:AA73)</f>
        <v>2158852.7999999998</v>
      </c>
    </row>
    <row r="75" spans="3:28" x14ac:dyDescent="0.25">
      <c r="C75" s="8" t="s">
        <v>35</v>
      </c>
      <c r="D75" s="1">
        <v>230000000</v>
      </c>
    </row>
    <row r="76" spans="3:28" x14ac:dyDescent="0.25">
      <c r="C76" s="1" t="s">
        <v>36</v>
      </c>
      <c r="D76" s="1">
        <v>210000000</v>
      </c>
    </row>
    <row r="77" spans="3:28" x14ac:dyDescent="0.25">
      <c r="C77" s="1" t="s">
        <v>37</v>
      </c>
      <c r="D77" s="1">
        <v>190000000</v>
      </c>
    </row>
    <row r="78" spans="3:28" x14ac:dyDescent="0.25">
      <c r="C78" s="8" t="s">
        <v>38</v>
      </c>
      <c r="D78" s="1">
        <v>150000</v>
      </c>
    </row>
    <row r="79" spans="3:28" x14ac:dyDescent="0.25">
      <c r="C79" s="8" t="s">
        <v>39</v>
      </c>
      <c r="D79" s="1">
        <v>400000</v>
      </c>
    </row>
    <row r="80" spans="3:28" x14ac:dyDescent="0.25">
      <c r="C80" s="8" t="s">
        <v>40</v>
      </c>
      <c r="D80" s="1">
        <v>150000</v>
      </c>
    </row>
    <row r="82" spans="2:29" s="2" customFormat="1" x14ac:dyDescent="0.25">
      <c r="B82" s="1"/>
      <c r="C82" s="1"/>
      <c r="D82" s="8" t="s">
        <v>54</v>
      </c>
      <c r="E82" s="8" t="s">
        <v>35</v>
      </c>
      <c r="F82" s="1" t="s">
        <v>36</v>
      </c>
      <c r="G82" s="1" t="s">
        <v>37</v>
      </c>
      <c r="H82" s="8" t="s">
        <v>38</v>
      </c>
      <c r="I82" s="8" t="s">
        <v>39</v>
      </c>
      <c r="J82" s="8" t="s">
        <v>40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C82" s="1"/>
    </row>
    <row r="83" spans="2:29" s="2" customFormat="1" x14ac:dyDescent="0.25">
      <c r="B83" s="1"/>
      <c r="C83" s="1"/>
      <c r="D83" s="1">
        <v>2158852.7999999998</v>
      </c>
      <c r="E83" s="1">
        <v>2158852.7999999998</v>
      </c>
      <c r="F83" s="1">
        <v>2158852.7999999998</v>
      </c>
      <c r="G83" s="1">
        <v>1958852.8</v>
      </c>
      <c r="H83" s="1">
        <v>150000</v>
      </c>
      <c r="I83" s="1">
        <v>400000</v>
      </c>
      <c r="J83" s="1">
        <v>150000</v>
      </c>
      <c r="K83" s="1"/>
      <c r="L83" s="1">
        <f>SUM(E83:J83)</f>
        <v>6976558.3999999994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C83" s="1"/>
    </row>
    <row r="84" spans="2:29" s="2" customFormat="1" x14ac:dyDescent="0.25"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C84" s="1"/>
    </row>
    <row r="85" spans="2:29" s="2" customFormat="1" x14ac:dyDescent="0.25">
      <c r="B85" s="1"/>
      <c r="C85" s="8" t="s">
        <v>55</v>
      </c>
      <c r="D85" s="1">
        <f>D83*0.5</f>
        <v>1079426.3999999999</v>
      </c>
      <c r="E85" s="1">
        <f>E83*0.5</f>
        <v>1079426.3999999999</v>
      </c>
      <c r="F85" s="1">
        <f t="shared" ref="F85:J85" si="5">F83*0.5</f>
        <v>1079426.3999999999</v>
      </c>
      <c r="G85" s="1">
        <f t="shared" si="5"/>
        <v>979426.4</v>
      </c>
      <c r="H85" s="1">
        <f t="shared" si="5"/>
        <v>75000</v>
      </c>
      <c r="I85" s="1">
        <f t="shared" si="5"/>
        <v>200000</v>
      </c>
      <c r="J85" s="1">
        <f t="shared" si="5"/>
        <v>75000</v>
      </c>
      <c r="K85" s="1"/>
      <c r="L85" s="1">
        <f>SUM(E85:J85)</f>
        <v>3488279.1999999997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C85" s="1"/>
    </row>
    <row r="86" spans="2:29" s="2" customFormat="1" x14ac:dyDescent="0.25">
      <c r="B86" s="1"/>
      <c r="C86" s="8" t="s">
        <v>56</v>
      </c>
      <c r="D86" s="1">
        <f>D83*0.2</f>
        <v>431770.56</v>
      </c>
      <c r="E86" s="1">
        <f>E83*0.2</f>
        <v>431770.56</v>
      </c>
      <c r="F86" s="1">
        <f t="shared" ref="F86:J86" si="6">F83*0.2</f>
        <v>431770.56</v>
      </c>
      <c r="G86" s="1">
        <f t="shared" si="6"/>
        <v>391770.56000000006</v>
      </c>
      <c r="H86" s="1">
        <f t="shared" si="6"/>
        <v>30000</v>
      </c>
      <c r="I86" s="1">
        <f t="shared" si="6"/>
        <v>80000</v>
      </c>
      <c r="J86" s="1">
        <f t="shared" si="6"/>
        <v>30000</v>
      </c>
      <c r="K86" s="1"/>
      <c r="L86" s="1">
        <f t="shared" ref="L86:L88" si="7">SUM(E86:J86)</f>
        <v>1395311.6800000002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C86" s="1"/>
    </row>
    <row r="87" spans="2:29" s="2" customFormat="1" x14ac:dyDescent="0.25">
      <c r="B87" s="1"/>
      <c r="C87" s="8" t="s">
        <v>57</v>
      </c>
      <c r="D87" s="1">
        <f>D83*0.2</f>
        <v>431770.56</v>
      </c>
      <c r="E87" s="1">
        <f>E83*0.2</f>
        <v>431770.56</v>
      </c>
      <c r="F87" s="1">
        <f t="shared" ref="F87:J87" si="8">F83*0.2</f>
        <v>431770.56</v>
      </c>
      <c r="G87" s="1">
        <f t="shared" si="8"/>
        <v>391770.56000000006</v>
      </c>
      <c r="H87" s="1">
        <f t="shared" si="8"/>
        <v>30000</v>
      </c>
      <c r="I87" s="1">
        <f t="shared" si="8"/>
        <v>80000</v>
      </c>
      <c r="J87" s="1">
        <f t="shared" si="8"/>
        <v>30000</v>
      </c>
      <c r="K87" s="1"/>
      <c r="L87" s="1">
        <f t="shared" si="7"/>
        <v>1395311.6800000002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C87" s="1"/>
    </row>
    <row r="88" spans="2:29" s="2" customFormat="1" x14ac:dyDescent="0.25">
      <c r="B88" s="1"/>
      <c r="C88" s="8" t="s">
        <v>58</v>
      </c>
      <c r="D88" s="1">
        <f>D83*0.1</f>
        <v>215885.28</v>
      </c>
      <c r="E88" s="1">
        <f>E83*0.1</f>
        <v>215885.28</v>
      </c>
      <c r="F88" s="1">
        <f t="shared" ref="F88:J88" si="9">F83*0.1</f>
        <v>215885.28</v>
      </c>
      <c r="G88" s="1">
        <f t="shared" si="9"/>
        <v>195885.28000000003</v>
      </c>
      <c r="H88" s="1">
        <f t="shared" si="9"/>
        <v>15000</v>
      </c>
      <c r="I88" s="1">
        <f t="shared" si="9"/>
        <v>40000</v>
      </c>
      <c r="J88" s="1">
        <f t="shared" si="9"/>
        <v>15000</v>
      </c>
      <c r="K88" s="1"/>
      <c r="L88" s="1">
        <f t="shared" si="7"/>
        <v>697655.84000000008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C88" s="1"/>
    </row>
    <row r="90" spans="2:29" s="2" customFormat="1" x14ac:dyDescent="0.25"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C90" s="1"/>
    </row>
    <row r="91" spans="2:29" s="2" customFormat="1" x14ac:dyDescent="0.25">
      <c r="B91" s="1"/>
      <c r="C91" s="8" t="s">
        <v>54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C91" s="1"/>
    </row>
    <row r="92" spans="2:29" s="2" customFormat="1" x14ac:dyDescent="0.25">
      <c r="B92" s="1"/>
      <c r="C92" s="1">
        <v>2158852.7999999998</v>
      </c>
      <c r="D92" s="1">
        <v>58171.199999999997</v>
      </c>
      <c r="E92" s="1">
        <v>36753.599999999999</v>
      </c>
      <c r="F92" s="1">
        <v>25406.400000000001</v>
      </c>
      <c r="G92" s="1">
        <v>21065.599999999999</v>
      </c>
      <c r="H92" s="1">
        <v>19540.8</v>
      </c>
      <c r="I92" s="1">
        <v>28595.199999999997</v>
      </c>
      <c r="J92" s="1">
        <v>38081.599999999999</v>
      </c>
      <c r="K92" s="1">
        <v>59308.800000000003</v>
      </c>
      <c r="L92" s="1">
        <v>87344</v>
      </c>
      <c r="M92" s="1">
        <v>101790.39999999999</v>
      </c>
      <c r="N92" s="1">
        <v>103388.79999999999</v>
      </c>
      <c r="O92" s="1">
        <v>110654.39999999999</v>
      </c>
      <c r="P92" s="1">
        <v>113156.79999999999</v>
      </c>
      <c r="Q92" s="1">
        <v>111320</v>
      </c>
      <c r="R92" s="1">
        <v>108504</v>
      </c>
      <c r="S92" s="1">
        <v>106963.2</v>
      </c>
      <c r="T92" s="1">
        <v>116120</v>
      </c>
      <c r="U92" s="1">
        <v>123460.79999999999</v>
      </c>
      <c r="V92" s="1">
        <v>125867.2</v>
      </c>
      <c r="W92" s="1">
        <v>133353.60000000001</v>
      </c>
      <c r="X92" s="1">
        <v>143384</v>
      </c>
      <c r="Y92" s="1">
        <v>160000</v>
      </c>
      <c r="Z92" s="1">
        <v>134206.39999999999</v>
      </c>
      <c r="AA92" s="1">
        <v>92416</v>
      </c>
      <c r="AC92" s="1"/>
    </row>
    <row r="93" spans="2:29" s="2" customFormat="1" hidden="1" x14ac:dyDescent="0.25">
      <c r="B93" s="1"/>
      <c r="C93" s="1"/>
      <c r="D93" s="1">
        <v>2158852.7999999998</v>
      </c>
      <c r="E93" s="1">
        <v>2158852.7999999998</v>
      </c>
      <c r="F93" s="1">
        <v>2158852.7999999998</v>
      </c>
      <c r="G93" s="1">
        <v>2158852.7999999998</v>
      </c>
      <c r="H93" s="1">
        <v>2158852.7999999998</v>
      </c>
      <c r="I93" s="1">
        <v>2158852.7999999998</v>
      </c>
      <c r="J93" s="1">
        <v>2158852.7999999998</v>
      </c>
      <c r="K93" s="1">
        <v>2158852.7999999998</v>
      </c>
      <c r="L93" s="1">
        <v>2158852.7999999998</v>
      </c>
      <c r="M93" s="1">
        <v>2158852.7999999998</v>
      </c>
      <c r="N93" s="1">
        <v>2158852.7999999998</v>
      </c>
      <c r="O93" s="1">
        <v>2158852.7999999998</v>
      </c>
      <c r="P93" s="1">
        <v>2158852.7999999998</v>
      </c>
      <c r="Q93" s="1">
        <v>2158852.7999999998</v>
      </c>
      <c r="R93" s="1">
        <v>2158852.7999999998</v>
      </c>
      <c r="S93" s="1">
        <v>2158852.7999999998</v>
      </c>
      <c r="T93" s="1">
        <v>2158852.7999999998</v>
      </c>
      <c r="U93" s="1">
        <v>2158852.7999999998</v>
      </c>
      <c r="V93" s="1">
        <v>2158852.7999999998</v>
      </c>
      <c r="W93" s="1">
        <v>2158852.7999999998</v>
      </c>
      <c r="X93" s="1">
        <v>2158852.7999999998</v>
      </c>
      <c r="Y93" s="1">
        <v>2158852.7999999998</v>
      </c>
      <c r="Z93" s="1">
        <v>2158852.7999999998</v>
      </c>
      <c r="AA93" s="1">
        <v>2158852.7999999998</v>
      </c>
      <c r="AC93" s="1"/>
    </row>
    <row r="94" spans="2:29" s="2" customFormat="1" hidden="1" x14ac:dyDescent="0.25">
      <c r="B94" s="1"/>
      <c r="C94" s="1"/>
      <c r="D94" s="1">
        <f>(D92/D93)*100</f>
        <v>2.6945422124194853</v>
      </c>
      <c r="E94" s="1">
        <f t="shared" ref="E94:AA94" si="10">(E92/E93)*100</f>
        <v>1.7024597508454493</v>
      </c>
      <c r="F94" s="1">
        <f t="shared" si="10"/>
        <v>1.1768472588774928</v>
      </c>
      <c r="G94" s="1">
        <f t="shared" si="10"/>
        <v>0.97577750553442077</v>
      </c>
      <c r="H94" s="1">
        <f t="shared" si="10"/>
        <v>0.90514740050827003</v>
      </c>
      <c r="I94" s="1">
        <f t="shared" si="10"/>
        <v>1.3245553379090969</v>
      </c>
      <c r="J94" s="1">
        <f t="shared" si="10"/>
        <v>1.7639739031767243</v>
      </c>
      <c r="K94" s="1">
        <f t="shared" si="10"/>
        <v>2.7472368658020598</v>
      </c>
      <c r="L94" s="1">
        <f t="shared" si="10"/>
        <v>4.0458525009208604</v>
      </c>
      <c r="M94" s="1">
        <f t="shared" si="10"/>
        <v>4.7150227194739731</v>
      </c>
      <c r="N94" s="1">
        <f t="shared" si="10"/>
        <v>4.7890620425811337</v>
      </c>
      <c r="O94" s="1">
        <f t="shared" si="10"/>
        <v>5.125611157926099</v>
      </c>
      <c r="P94" s="1">
        <f t="shared" si="10"/>
        <v>5.2415245726804534</v>
      </c>
      <c r="Q94" s="1">
        <f t="shared" si="10"/>
        <v>5.1564423475282801</v>
      </c>
      <c r="R94" s="1">
        <f t="shared" si="10"/>
        <v>5.0260026992113591</v>
      </c>
      <c r="S94" s="1">
        <f t="shared" si="10"/>
        <v>4.9546314598197716</v>
      </c>
      <c r="T94" s="1">
        <f t="shared" si="10"/>
        <v>5.3787826571593955</v>
      </c>
      <c r="U94" s="1">
        <f t="shared" si="10"/>
        <v>5.718815104021914</v>
      </c>
      <c r="V94" s="1">
        <f t="shared" si="10"/>
        <v>5.8302817125836466</v>
      </c>
      <c r="W94" s="1">
        <f t="shared" si="10"/>
        <v>6.1770584821716428</v>
      </c>
      <c r="X94" s="1">
        <f t="shared" si="10"/>
        <v>6.6416756158641306</v>
      </c>
      <c r="Y94" s="1">
        <f t="shared" si="10"/>
        <v>7.4113436543705076</v>
      </c>
      <c r="Z94" s="1">
        <f t="shared" si="10"/>
        <v>6.216560943849438</v>
      </c>
      <c r="AA94" s="1">
        <f t="shared" si="10"/>
        <v>4.2807920947644043</v>
      </c>
      <c r="AC94" s="1"/>
    </row>
    <row r="95" spans="2:29" s="2" customFormat="1" hidden="1" x14ac:dyDescent="0.25">
      <c r="B95" s="1"/>
      <c r="C95" s="1"/>
      <c r="D95" s="1">
        <v>150000</v>
      </c>
      <c r="E95" s="1">
        <v>150000</v>
      </c>
      <c r="F95" s="1">
        <v>150000</v>
      </c>
      <c r="G95" s="1">
        <v>150000</v>
      </c>
      <c r="H95" s="1">
        <v>150000</v>
      </c>
      <c r="I95" s="1">
        <v>150000</v>
      </c>
      <c r="J95" s="1">
        <v>150000</v>
      </c>
      <c r="K95" s="1">
        <v>150000</v>
      </c>
      <c r="L95" s="1">
        <v>150000</v>
      </c>
      <c r="M95" s="1">
        <v>150000</v>
      </c>
      <c r="N95" s="1">
        <v>150000</v>
      </c>
      <c r="O95" s="1">
        <v>150000</v>
      </c>
      <c r="P95" s="1">
        <v>150000</v>
      </c>
      <c r="Q95" s="1">
        <v>150000</v>
      </c>
      <c r="R95" s="1">
        <v>150000</v>
      </c>
      <c r="S95" s="1">
        <v>150000</v>
      </c>
      <c r="T95" s="1">
        <v>150000</v>
      </c>
      <c r="U95" s="1">
        <v>150000</v>
      </c>
      <c r="V95" s="1">
        <v>150000</v>
      </c>
      <c r="W95" s="1">
        <v>150000</v>
      </c>
      <c r="X95" s="1">
        <v>150000</v>
      </c>
      <c r="Y95" s="1">
        <v>150000</v>
      </c>
      <c r="Z95" s="1">
        <v>150000</v>
      </c>
      <c r="AA95" s="1">
        <v>150000</v>
      </c>
      <c r="AC95" s="1"/>
    </row>
    <row r="96" spans="2:29" s="2" customFormat="1" hidden="1" x14ac:dyDescent="0.25">
      <c r="B96" s="1"/>
      <c r="C96" s="1"/>
      <c r="D96" s="1">
        <v>100</v>
      </c>
      <c r="E96" s="1">
        <v>100</v>
      </c>
      <c r="F96" s="1">
        <v>100</v>
      </c>
      <c r="G96" s="1">
        <v>100</v>
      </c>
      <c r="H96" s="1">
        <v>100</v>
      </c>
      <c r="I96" s="1">
        <v>100</v>
      </c>
      <c r="J96" s="1">
        <v>100</v>
      </c>
      <c r="K96" s="1">
        <v>100</v>
      </c>
      <c r="L96" s="1">
        <v>100</v>
      </c>
      <c r="M96" s="1">
        <v>100</v>
      </c>
      <c r="N96" s="1">
        <v>100</v>
      </c>
      <c r="O96" s="1">
        <v>100</v>
      </c>
      <c r="P96" s="1">
        <v>100</v>
      </c>
      <c r="Q96" s="1">
        <v>100</v>
      </c>
      <c r="R96" s="1">
        <v>100</v>
      </c>
      <c r="S96" s="1">
        <v>100</v>
      </c>
      <c r="T96" s="1">
        <v>100</v>
      </c>
      <c r="U96" s="1">
        <v>100</v>
      </c>
      <c r="V96" s="1">
        <v>100</v>
      </c>
      <c r="W96" s="1">
        <v>100</v>
      </c>
      <c r="X96" s="1">
        <v>100</v>
      </c>
      <c r="Y96" s="1">
        <v>100</v>
      </c>
      <c r="Z96" s="1">
        <v>100</v>
      </c>
      <c r="AA96" s="1">
        <v>100</v>
      </c>
      <c r="AC96" s="1"/>
    </row>
    <row r="97" spans="2:29" s="2" customFormat="1" hidden="1" x14ac:dyDescent="0.25">
      <c r="B97" s="1"/>
      <c r="C97" s="8"/>
      <c r="D97" s="1">
        <f>(D94*D95)/D96</f>
        <v>4041.813318629228</v>
      </c>
      <c r="E97" s="1">
        <f t="shared" ref="E97:AA97" si="11">(E94*E95)/E96</f>
        <v>2553.6896262681739</v>
      </c>
      <c r="F97" s="1">
        <f t="shared" si="11"/>
        <v>1765.2708883162391</v>
      </c>
      <c r="G97" s="1">
        <f t="shared" si="11"/>
        <v>1463.6662583016309</v>
      </c>
      <c r="H97" s="1">
        <f t="shared" si="11"/>
        <v>1357.7211007624051</v>
      </c>
      <c r="I97" s="1">
        <f t="shared" si="11"/>
        <v>1986.8330068636453</v>
      </c>
      <c r="J97" s="1">
        <f t="shared" si="11"/>
        <v>2645.9608547650864</v>
      </c>
      <c r="K97" s="1">
        <f t="shared" si="11"/>
        <v>4120.8552987030898</v>
      </c>
      <c r="L97" s="1">
        <f t="shared" si="11"/>
        <v>6068.7787513812909</v>
      </c>
      <c r="M97" s="1">
        <f t="shared" si="11"/>
        <v>7072.53407921096</v>
      </c>
      <c r="N97" s="1">
        <f t="shared" si="11"/>
        <v>7183.5930638717009</v>
      </c>
      <c r="O97" s="1">
        <f t="shared" si="11"/>
        <v>7688.4167368891485</v>
      </c>
      <c r="P97" s="1">
        <f t="shared" si="11"/>
        <v>7862.2868590206808</v>
      </c>
      <c r="Q97" s="1">
        <f t="shared" si="11"/>
        <v>7734.6635212924202</v>
      </c>
      <c r="R97" s="1">
        <f t="shared" si="11"/>
        <v>7539.0040488170389</v>
      </c>
      <c r="S97" s="1">
        <f t="shared" si="11"/>
        <v>7431.9471897296571</v>
      </c>
      <c r="T97" s="1">
        <f t="shared" si="11"/>
        <v>8068.173985739093</v>
      </c>
      <c r="U97" s="1">
        <f t="shared" si="11"/>
        <v>8578.2226560328709</v>
      </c>
      <c r="V97" s="1">
        <f t="shared" si="11"/>
        <v>8745.4225688754705</v>
      </c>
      <c r="W97" s="1">
        <f t="shared" si="11"/>
        <v>9265.5877232574639</v>
      </c>
      <c r="X97" s="1">
        <f t="shared" si="11"/>
        <v>9962.5134237961956</v>
      </c>
      <c r="Y97" s="1">
        <f t="shared" si="11"/>
        <v>11117.015481555762</v>
      </c>
      <c r="Z97" s="1">
        <f t="shared" si="11"/>
        <v>9324.8414157741572</v>
      </c>
      <c r="AA97" s="1">
        <f t="shared" si="11"/>
        <v>6421.1881421466069</v>
      </c>
      <c r="AC97" s="1"/>
    </row>
    <row r="98" spans="2:29" s="2" customFormat="1" x14ac:dyDescent="0.25">
      <c r="B98" s="1"/>
      <c r="C98" s="8" t="s">
        <v>35</v>
      </c>
      <c r="D98" s="43">
        <v>58171.199999999997</v>
      </c>
      <c r="E98" s="43">
        <v>36753.600000000006</v>
      </c>
      <c r="F98" s="43">
        <v>25406.400000000001</v>
      </c>
      <c r="G98" s="43">
        <v>21065.599999999995</v>
      </c>
      <c r="H98" s="43">
        <v>19540.8</v>
      </c>
      <c r="I98" s="43">
        <v>28595.199999999997</v>
      </c>
      <c r="J98" s="43">
        <v>38081.599999999999</v>
      </c>
      <c r="K98" s="43">
        <v>59308.80000000001</v>
      </c>
      <c r="L98" s="43">
        <v>87344.000000000015</v>
      </c>
      <c r="M98" s="43">
        <v>101790.39999999999</v>
      </c>
      <c r="N98" s="43">
        <v>103388.79999999999</v>
      </c>
      <c r="O98" s="43">
        <v>110654.39999999999</v>
      </c>
      <c r="P98" s="43">
        <v>113156.8</v>
      </c>
      <c r="Q98" s="43">
        <v>111320</v>
      </c>
      <c r="R98" s="43">
        <v>108504</v>
      </c>
      <c r="S98" s="43">
        <v>106963.2</v>
      </c>
      <c r="T98" s="43">
        <v>116120</v>
      </c>
      <c r="U98" s="43">
        <v>123460.8</v>
      </c>
      <c r="V98" s="43">
        <v>125867.2</v>
      </c>
      <c r="W98" s="43">
        <v>133353.60000000001</v>
      </c>
      <c r="X98" s="43">
        <v>143384.00000000003</v>
      </c>
      <c r="Y98" s="43">
        <v>160000.00000000003</v>
      </c>
      <c r="Z98" s="43">
        <v>134206.39999999999</v>
      </c>
      <c r="AA98" s="43">
        <v>92415.999999999985</v>
      </c>
      <c r="AC98" s="1"/>
    </row>
    <row r="99" spans="2:29" s="2" customFormat="1" x14ac:dyDescent="0.25">
      <c r="B99" s="1"/>
      <c r="C99" s="1" t="s">
        <v>36</v>
      </c>
      <c r="D99" s="43">
        <v>58171.199999999997</v>
      </c>
      <c r="E99" s="43">
        <v>36753.600000000006</v>
      </c>
      <c r="F99" s="43">
        <v>25406.400000000001</v>
      </c>
      <c r="G99" s="43">
        <v>21065.599999999995</v>
      </c>
      <c r="H99" s="43">
        <v>19540.8</v>
      </c>
      <c r="I99" s="43">
        <v>28595.199999999997</v>
      </c>
      <c r="J99" s="43">
        <v>38081.599999999999</v>
      </c>
      <c r="K99" s="43">
        <v>59308.80000000001</v>
      </c>
      <c r="L99" s="43">
        <v>87344.000000000015</v>
      </c>
      <c r="M99" s="43">
        <v>101790.39999999999</v>
      </c>
      <c r="N99" s="43">
        <v>103388.79999999999</v>
      </c>
      <c r="O99" s="43">
        <v>110654.39999999999</v>
      </c>
      <c r="P99" s="43">
        <v>113156.8</v>
      </c>
      <c r="Q99" s="43">
        <v>111320</v>
      </c>
      <c r="R99" s="43">
        <v>108504</v>
      </c>
      <c r="S99" s="43">
        <v>106963.2</v>
      </c>
      <c r="T99" s="43">
        <v>116120</v>
      </c>
      <c r="U99" s="43">
        <v>123460.8</v>
      </c>
      <c r="V99" s="43">
        <v>125867.2</v>
      </c>
      <c r="W99" s="43">
        <v>133353.60000000001</v>
      </c>
      <c r="X99" s="43">
        <v>143384.00000000003</v>
      </c>
      <c r="Y99" s="43">
        <v>160000.00000000003</v>
      </c>
      <c r="Z99" s="43">
        <v>134206.39999999999</v>
      </c>
      <c r="AA99" s="43">
        <v>92415.999999999985</v>
      </c>
      <c r="AC99" s="1"/>
    </row>
    <row r="100" spans="2:29" s="2" customFormat="1" x14ac:dyDescent="0.25">
      <c r="B100" s="1"/>
      <c r="C100" s="1" t="s">
        <v>37</v>
      </c>
      <c r="D100" s="43">
        <v>52782.115575160999</v>
      </c>
      <c r="E100" s="43">
        <v>33348.680498309106</v>
      </c>
      <c r="F100" s="43">
        <v>23052.705482245019</v>
      </c>
      <c r="G100" s="43">
        <v>19114.044988931157</v>
      </c>
      <c r="H100" s="43">
        <v>17730.505198983461</v>
      </c>
      <c r="I100" s="43">
        <v>25946.089324181805</v>
      </c>
      <c r="J100" s="43">
        <v>34553.652193646551</v>
      </c>
      <c r="K100" s="43">
        <v>53814.326268395896</v>
      </c>
      <c r="L100" s="43">
        <v>79252.294998158293</v>
      </c>
      <c r="M100" s="43">
        <v>92360.354561052067</v>
      </c>
      <c r="N100" s="43">
        <v>93810.675914837731</v>
      </c>
      <c r="O100" s="43">
        <v>100403.17768414783</v>
      </c>
      <c r="P100" s="43">
        <v>102673.75085463909</v>
      </c>
      <c r="Q100" s="43">
        <v>101007.11530494345</v>
      </c>
      <c r="R100" s="43">
        <v>98451.994601577302</v>
      </c>
      <c r="S100" s="43">
        <v>97053.937080360469</v>
      </c>
      <c r="T100" s="43">
        <v>105362.43468568122</v>
      </c>
      <c r="U100" s="43">
        <v>112023.16979195617</v>
      </c>
      <c r="V100" s="43">
        <v>114206.63657483272</v>
      </c>
      <c r="W100" s="43">
        <v>120999.48303565674</v>
      </c>
      <c r="X100" s="43">
        <v>130100.64876827177</v>
      </c>
      <c r="Y100" s="43">
        <v>145177.31269125902</v>
      </c>
      <c r="Z100" s="43">
        <v>121773.27811230115</v>
      </c>
      <c r="AA100" s="43">
        <v>83854.415810471182</v>
      </c>
      <c r="AC100" s="1"/>
    </row>
    <row r="101" spans="2:29" s="2" customFormat="1" x14ac:dyDescent="0.25">
      <c r="B101" s="1"/>
      <c r="C101" s="8" t="s">
        <v>38</v>
      </c>
      <c r="D101" s="43">
        <v>4041.8133186292298</v>
      </c>
      <c r="E101" s="43">
        <v>2553.6896262681739</v>
      </c>
      <c r="F101" s="43">
        <v>1765.2708883162391</v>
      </c>
      <c r="G101" s="43">
        <v>1463.6662583016309</v>
      </c>
      <c r="H101" s="43">
        <v>1357.7211007624051</v>
      </c>
      <c r="I101" s="43">
        <v>1986.8330068636453</v>
      </c>
      <c r="J101" s="43">
        <v>2645.9608547650864</v>
      </c>
      <c r="K101" s="43">
        <v>4120.8552987030898</v>
      </c>
      <c r="L101" s="43">
        <v>6068.7787513812909</v>
      </c>
      <c r="M101" s="43">
        <v>7072.53407921096</v>
      </c>
      <c r="N101" s="43">
        <v>7183.5930638717009</v>
      </c>
      <c r="O101" s="43">
        <v>7688.4167368891485</v>
      </c>
      <c r="P101" s="43">
        <v>7862.2868590206808</v>
      </c>
      <c r="Q101" s="43">
        <v>7734.6635212924202</v>
      </c>
      <c r="R101" s="43">
        <v>7539.0040488170389</v>
      </c>
      <c r="S101" s="43">
        <v>7431.9471897296571</v>
      </c>
      <c r="T101" s="43">
        <v>8068.173985739093</v>
      </c>
      <c r="U101" s="43">
        <v>8578.2226560328709</v>
      </c>
      <c r="V101" s="43">
        <v>8745.4225688754705</v>
      </c>
      <c r="W101" s="43">
        <v>9265.5877232574639</v>
      </c>
      <c r="X101" s="43">
        <v>9962.5134237961956</v>
      </c>
      <c r="Y101" s="43">
        <v>11117.015481555762</v>
      </c>
      <c r="Z101" s="43">
        <v>9324.8414157741572</v>
      </c>
      <c r="AA101" s="43">
        <v>6421.1881421466069</v>
      </c>
      <c r="AC101" s="1"/>
    </row>
    <row r="102" spans="2:29" s="2" customFormat="1" x14ac:dyDescent="0.25">
      <c r="B102" s="1"/>
      <c r="C102" s="8" t="s">
        <v>39</v>
      </c>
      <c r="D102" s="43">
        <v>10778.168849677901</v>
      </c>
      <c r="E102" s="43">
        <v>6809.8390033817977</v>
      </c>
      <c r="F102" s="43">
        <v>4707.3890355099711</v>
      </c>
      <c r="G102" s="43">
        <v>3903.1100221376832</v>
      </c>
      <c r="H102" s="43">
        <v>3620.5896020330802</v>
      </c>
      <c r="I102" s="43">
        <v>5298.2213516363872</v>
      </c>
      <c r="J102" s="43">
        <v>7055.8956127068968</v>
      </c>
      <c r="K102" s="43">
        <v>10988.947463208238</v>
      </c>
      <c r="L102" s="43">
        <v>16183.410003683441</v>
      </c>
      <c r="M102" s="43">
        <v>18860.090877895895</v>
      </c>
      <c r="N102" s="43">
        <v>19156.248170324532</v>
      </c>
      <c r="O102" s="43">
        <v>20502.444631704398</v>
      </c>
      <c r="P102" s="43">
        <v>20966.098290721813</v>
      </c>
      <c r="Q102" s="43">
        <v>20625.769390113121</v>
      </c>
      <c r="R102" s="43">
        <v>20104.010796845436</v>
      </c>
      <c r="S102" s="43">
        <v>19818.525839279086</v>
      </c>
      <c r="T102" s="43">
        <v>21515.130628637584</v>
      </c>
      <c r="U102" s="43">
        <v>22875.260416087658</v>
      </c>
      <c r="V102" s="43">
        <v>23321.126850334589</v>
      </c>
      <c r="W102" s="43">
        <v>24708.233928686572</v>
      </c>
      <c r="X102" s="43">
        <v>26566.702463456524</v>
      </c>
      <c r="Y102" s="43">
        <v>29645.374617482026</v>
      </c>
      <c r="Z102" s="43">
        <v>24866.243775397754</v>
      </c>
      <c r="AA102" s="43">
        <v>17123.168379057617</v>
      </c>
      <c r="AC102" s="1"/>
    </row>
    <row r="103" spans="2:29" s="2" customFormat="1" x14ac:dyDescent="0.25">
      <c r="B103" s="1"/>
      <c r="C103" s="8" t="s">
        <v>40</v>
      </c>
      <c r="D103" s="43">
        <v>4041.8133186292298</v>
      </c>
      <c r="E103" s="43">
        <v>2553.6896262681739</v>
      </c>
      <c r="F103" s="43">
        <v>1765.2708883162391</v>
      </c>
      <c r="G103" s="43">
        <v>1463.6662583016309</v>
      </c>
      <c r="H103" s="43">
        <v>1357.7211007624051</v>
      </c>
      <c r="I103" s="43">
        <v>1986.8330068636453</v>
      </c>
      <c r="J103" s="43">
        <v>2645.9608547650864</v>
      </c>
      <c r="K103" s="43">
        <v>4120.8552987030898</v>
      </c>
      <c r="L103" s="43">
        <v>6068.7787513812909</v>
      </c>
      <c r="M103" s="43">
        <v>7072.53407921096</v>
      </c>
      <c r="N103" s="43">
        <v>7183.5930638717009</v>
      </c>
      <c r="O103" s="43">
        <v>7688.4167368891485</v>
      </c>
      <c r="P103" s="43">
        <v>7862.2868590206808</v>
      </c>
      <c r="Q103" s="43">
        <v>7734.6635212924202</v>
      </c>
      <c r="R103" s="43">
        <v>7539.0040488170389</v>
      </c>
      <c r="S103" s="43">
        <v>7431.9471897296571</v>
      </c>
      <c r="T103" s="43">
        <v>8068.173985739093</v>
      </c>
      <c r="U103" s="43">
        <v>8578.2226560328709</v>
      </c>
      <c r="V103" s="43">
        <v>8745.4225688754705</v>
      </c>
      <c r="W103" s="43">
        <v>9265.5877232574639</v>
      </c>
      <c r="X103" s="43">
        <v>9962.5134237961956</v>
      </c>
      <c r="Y103" s="43">
        <v>11117.015481555762</v>
      </c>
      <c r="Z103" s="43">
        <v>9324.8414157741572</v>
      </c>
      <c r="AA103" s="43">
        <v>6421.1881421466069</v>
      </c>
      <c r="AC103" s="1"/>
    </row>
    <row r="106" spans="2:29" s="2" customFormat="1" x14ac:dyDescent="0.25">
      <c r="B106" s="1"/>
      <c r="C106" s="8" t="s">
        <v>52</v>
      </c>
      <c r="D106" s="43">
        <f>SUM(D98:D103)</f>
        <v>187986.31106209735</v>
      </c>
      <c r="E106" s="43">
        <f t="shared" ref="E106:AA106" si="12">SUM(E98:E103)</f>
        <v>118773.09875422726</v>
      </c>
      <c r="F106" s="43">
        <f t="shared" si="12"/>
        <v>82103.436294387473</v>
      </c>
      <c r="G106" s="43">
        <f t="shared" si="12"/>
        <v>68075.687527672082</v>
      </c>
      <c r="H106" s="43">
        <f t="shared" si="12"/>
        <v>63148.137002541356</v>
      </c>
      <c r="I106" s="43">
        <f t="shared" si="12"/>
        <v>92408.376689545476</v>
      </c>
      <c r="J106" s="43">
        <f t="shared" si="12"/>
        <v>123064.66951588361</v>
      </c>
      <c r="K106" s="43">
        <f t="shared" si="12"/>
        <v>191662.58432901034</v>
      </c>
      <c r="L106" s="43">
        <f t="shared" si="12"/>
        <v>282261.2625046043</v>
      </c>
      <c r="M106" s="43">
        <f t="shared" si="12"/>
        <v>328946.31359736982</v>
      </c>
      <c r="N106" s="43">
        <f t="shared" si="12"/>
        <v>334111.71021290572</v>
      </c>
      <c r="O106" s="43">
        <f t="shared" si="12"/>
        <v>357591.25578963058</v>
      </c>
      <c r="P106" s="43">
        <f t="shared" si="12"/>
        <v>365678.02286340232</v>
      </c>
      <c r="Q106" s="43">
        <f t="shared" si="12"/>
        <v>359742.21173764148</v>
      </c>
      <c r="R106" s="43">
        <f t="shared" si="12"/>
        <v>350642.01349605678</v>
      </c>
      <c r="S106" s="43">
        <f t="shared" si="12"/>
        <v>345662.75729909888</v>
      </c>
      <c r="T106" s="43">
        <f t="shared" si="12"/>
        <v>375253.913285797</v>
      </c>
      <c r="U106" s="43">
        <f t="shared" si="12"/>
        <v>398976.47552010958</v>
      </c>
      <c r="V106" s="43">
        <f t="shared" si="12"/>
        <v>406753.00856291829</v>
      </c>
      <c r="W106" s="43">
        <f t="shared" si="12"/>
        <v>430946.09241085831</v>
      </c>
      <c r="X106" s="43">
        <f t="shared" si="12"/>
        <v>463360.37807932083</v>
      </c>
      <c r="Y106" s="43">
        <f t="shared" si="12"/>
        <v>517056.71827185265</v>
      </c>
      <c r="Z106" s="43">
        <f t="shared" si="12"/>
        <v>433702.00471924717</v>
      </c>
      <c r="AA106" s="43">
        <f t="shared" si="12"/>
        <v>298651.96047382202</v>
      </c>
      <c r="AC106" s="1"/>
    </row>
    <row r="108" spans="2:29" s="2" customFormat="1" x14ac:dyDescent="0.25">
      <c r="B108" s="1"/>
      <c r="C108" s="1" t="s">
        <v>31</v>
      </c>
      <c r="D108" s="1">
        <f>D106*0.4</f>
        <v>75194.524424838935</v>
      </c>
      <c r="E108" s="1">
        <f t="shared" ref="E108:AA108" si="13">E106*0.5</f>
        <v>59386.549377113632</v>
      </c>
      <c r="F108" s="1">
        <f t="shared" si="13"/>
        <v>41051.718147193737</v>
      </c>
      <c r="G108" s="1">
        <f t="shared" si="13"/>
        <v>34037.843763836041</v>
      </c>
      <c r="H108" s="1">
        <f t="shared" si="13"/>
        <v>31574.068501270678</v>
      </c>
      <c r="I108" s="1">
        <f t="shared" si="13"/>
        <v>46204.188344772738</v>
      </c>
      <c r="J108" s="1">
        <f t="shared" si="13"/>
        <v>61532.334757941804</v>
      </c>
      <c r="K108" s="1">
        <f t="shared" si="13"/>
        <v>95831.292164505168</v>
      </c>
      <c r="L108" s="1">
        <f t="shared" si="13"/>
        <v>141130.63125230215</v>
      </c>
      <c r="M108" s="1">
        <f t="shared" si="13"/>
        <v>164473.15679868491</v>
      </c>
      <c r="N108" s="1">
        <f t="shared" si="13"/>
        <v>167055.85510645286</v>
      </c>
      <c r="O108" s="1">
        <f t="shared" si="13"/>
        <v>178795.62789481529</v>
      </c>
      <c r="P108" s="1">
        <f t="shared" si="13"/>
        <v>182839.01143170116</v>
      </c>
      <c r="Q108" s="1">
        <f t="shared" si="13"/>
        <v>179871.10586882074</v>
      </c>
      <c r="R108" s="1">
        <f t="shared" si="13"/>
        <v>175321.00674802839</v>
      </c>
      <c r="S108" s="1">
        <f t="shared" si="13"/>
        <v>172831.37864954944</v>
      </c>
      <c r="T108" s="1">
        <f t="shared" si="13"/>
        <v>187626.9566428985</v>
      </c>
      <c r="U108" s="1">
        <f t="shared" si="13"/>
        <v>199488.23776005479</v>
      </c>
      <c r="V108" s="1">
        <f t="shared" si="13"/>
        <v>203376.50428145914</v>
      </c>
      <c r="W108" s="1">
        <f t="shared" si="13"/>
        <v>215473.04620542916</v>
      </c>
      <c r="X108" s="1">
        <f t="shared" si="13"/>
        <v>231680.18903966041</v>
      </c>
      <c r="Y108" s="1">
        <f t="shared" si="13"/>
        <v>258528.35913592632</v>
      </c>
      <c r="Z108" s="1">
        <f t="shared" si="13"/>
        <v>216851.00235962358</v>
      </c>
      <c r="AA108" s="1">
        <f t="shared" si="13"/>
        <v>149325.98023691101</v>
      </c>
      <c r="AC108" s="1"/>
    </row>
    <row r="109" spans="2:29" s="2" customFormat="1" x14ac:dyDescent="0.25">
      <c r="B109" s="1"/>
      <c r="C109" s="21" t="s">
        <v>59</v>
      </c>
      <c r="D109" s="1">
        <f>D106*0.3</f>
        <v>56395.893318629205</v>
      </c>
      <c r="E109" s="1">
        <f t="shared" ref="E109:AA109" si="14">E106*0.3</f>
        <v>35631.929626268175</v>
      </c>
      <c r="F109" s="1">
        <f t="shared" si="14"/>
        <v>24631.03088831624</v>
      </c>
      <c r="G109" s="1">
        <f t="shared" si="14"/>
        <v>20422.706258301623</v>
      </c>
      <c r="H109" s="1">
        <f t="shared" si="14"/>
        <v>18944.441100762408</v>
      </c>
      <c r="I109" s="1">
        <f t="shared" si="14"/>
        <v>27722.513006863643</v>
      </c>
      <c r="J109" s="1">
        <f t="shared" si="14"/>
        <v>36919.400854765081</v>
      </c>
      <c r="K109" s="1">
        <f t="shared" si="14"/>
        <v>57498.775298703098</v>
      </c>
      <c r="L109" s="1">
        <f t="shared" si="14"/>
        <v>84678.378751381286</v>
      </c>
      <c r="M109" s="1">
        <f t="shared" si="14"/>
        <v>98683.89407921095</v>
      </c>
      <c r="N109" s="1">
        <f t="shared" si="14"/>
        <v>100233.51306387171</v>
      </c>
      <c r="O109" s="1">
        <f t="shared" si="14"/>
        <v>107277.37673688917</v>
      </c>
      <c r="P109" s="1">
        <f t="shared" si="14"/>
        <v>109703.40685902069</v>
      </c>
      <c r="Q109" s="1">
        <f t="shared" si="14"/>
        <v>107922.66352129244</v>
      </c>
      <c r="R109" s="1">
        <f t="shared" si="14"/>
        <v>105192.60404881703</v>
      </c>
      <c r="S109" s="1">
        <f t="shared" si="14"/>
        <v>103698.82718972967</v>
      </c>
      <c r="T109" s="1">
        <f t="shared" si="14"/>
        <v>112576.17398573909</v>
      </c>
      <c r="U109" s="1">
        <f t="shared" si="14"/>
        <v>119692.94265603287</v>
      </c>
      <c r="V109" s="1">
        <f t="shared" si="14"/>
        <v>122025.90256887548</v>
      </c>
      <c r="W109" s="1">
        <f t="shared" si="14"/>
        <v>129283.82772325749</v>
      </c>
      <c r="X109" s="1">
        <f t="shared" si="14"/>
        <v>139008.11342379625</v>
      </c>
      <c r="Y109" s="1">
        <f t="shared" si="14"/>
        <v>155117.01548155578</v>
      </c>
      <c r="Z109" s="1">
        <f t="shared" si="14"/>
        <v>130110.60141577414</v>
      </c>
      <c r="AA109" s="1">
        <f t="shared" si="14"/>
        <v>89595.588142146604</v>
      </c>
      <c r="AC109" s="1"/>
    </row>
    <row r="110" spans="2:29" s="2" customFormat="1" x14ac:dyDescent="0.25">
      <c r="B110" s="1"/>
      <c r="C110" s="1" t="s">
        <v>60</v>
      </c>
      <c r="D110" s="1">
        <f>D106*0.2</f>
        <v>37597.262212419468</v>
      </c>
      <c r="E110" s="1">
        <f t="shared" ref="E110:AA110" si="15">E106*0.2</f>
        <v>23754.619750845453</v>
      </c>
      <c r="F110" s="1">
        <f t="shared" si="15"/>
        <v>16420.687258877497</v>
      </c>
      <c r="G110" s="1">
        <f t="shared" si="15"/>
        <v>13615.137505534418</v>
      </c>
      <c r="H110" s="1">
        <f t="shared" si="15"/>
        <v>12629.627400508272</v>
      </c>
      <c r="I110" s="1">
        <f t="shared" si="15"/>
        <v>18481.675337909095</v>
      </c>
      <c r="J110" s="1">
        <f t="shared" si="15"/>
        <v>24612.933903176723</v>
      </c>
      <c r="K110" s="1">
        <f t="shared" si="15"/>
        <v>38332.51686580207</v>
      </c>
      <c r="L110" s="1">
        <f t="shared" si="15"/>
        <v>56452.252500920862</v>
      </c>
      <c r="M110" s="1">
        <f t="shared" si="15"/>
        <v>65789.262719473962</v>
      </c>
      <c r="N110" s="1">
        <f t="shared" si="15"/>
        <v>66822.342042581149</v>
      </c>
      <c r="O110" s="1">
        <f t="shared" si="15"/>
        <v>71518.251157926119</v>
      </c>
      <c r="P110" s="1">
        <f t="shared" si="15"/>
        <v>73135.604572680473</v>
      </c>
      <c r="Q110" s="1">
        <f t="shared" si="15"/>
        <v>71948.442347528297</v>
      </c>
      <c r="R110" s="1">
        <f t="shared" si="15"/>
        <v>70128.402699211365</v>
      </c>
      <c r="S110" s="1">
        <f t="shared" si="15"/>
        <v>69132.551459819777</v>
      </c>
      <c r="T110" s="1">
        <f t="shared" si="15"/>
        <v>75050.782657159405</v>
      </c>
      <c r="U110" s="1">
        <f t="shared" si="15"/>
        <v>79795.29510402192</v>
      </c>
      <c r="V110" s="1">
        <f t="shared" si="15"/>
        <v>81350.601712583666</v>
      </c>
      <c r="W110" s="1">
        <f t="shared" si="15"/>
        <v>86189.218482171666</v>
      </c>
      <c r="X110" s="1">
        <f t="shared" si="15"/>
        <v>92672.075615864174</v>
      </c>
      <c r="Y110" s="1">
        <f t="shared" si="15"/>
        <v>103411.34365437053</v>
      </c>
      <c r="Z110" s="1">
        <f t="shared" si="15"/>
        <v>86740.400943849439</v>
      </c>
      <c r="AA110" s="1">
        <f t="shared" si="15"/>
        <v>59730.392094764407</v>
      </c>
      <c r="AC110" s="1"/>
    </row>
    <row r="111" spans="2:29" s="2" customFormat="1" x14ac:dyDescent="0.25">
      <c r="B111" s="1"/>
      <c r="C111" s="1" t="s">
        <v>34</v>
      </c>
      <c r="D111" s="1">
        <f>D106*0.1</f>
        <v>18798.631106209734</v>
      </c>
      <c r="E111" s="1">
        <f t="shared" ref="E111:AA111" si="16">E106*0.1</f>
        <v>11877.309875422727</v>
      </c>
      <c r="F111" s="1">
        <f t="shared" si="16"/>
        <v>8210.3436294387484</v>
      </c>
      <c r="G111" s="1">
        <f t="shared" si="16"/>
        <v>6807.5687527672089</v>
      </c>
      <c r="H111" s="1">
        <f t="shared" si="16"/>
        <v>6314.8137002541362</v>
      </c>
      <c r="I111" s="1">
        <f t="shared" si="16"/>
        <v>9240.8376689545476</v>
      </c>
      <c r="J111" s="1">
        <f t="shared" si="16"/>
        <v>12306.466951588362</v>
      </c>
      <c r="K111" s="1">
        <f t="shared" si="16"/>
        <v>19166.258432901035</v>
      </c>
      <c r="L111" s="1">
        <f t="shared" si="16"/>
        <v>28226.126250460431</v>
      </c>
      <c r="M111" s="1">
        <f t="shared" si="16"/>
        <v>32894.631359736981</v>
      </c>
      <c r="N111" s="1">
        <f t="shared" si="16"/>
        <v>33411.171021290575</v>
      </c>
      <c r="O111" s="1">
        <f t="shared" si="16"/>
        <v>35759.12557896306</v>
      </c>
      <c r="P111" s="1">
        <f t="shared" si="16"/>
        <v>36567.802286340237</v>
      </c>
      <c r="Q111" s="1">
        <f t="shared" si="16"/>
        <v>35974.221173764148</v>
      </c>
      <c r="R111" s="1">
        <f t="shared" si="16"/>
        <v>35064.201349605682</v>
      </c>
      <c r="S111" s="1">
        <f t="shared" si="16"/>
        <v>34566.275729909888</v>
      </c>
      <c r="T111" s="1">
        <f t="shared" si="16"/>
        <v>37525.391328579703</v>
      </c>
      <c r="U111" s="1">
        <f t="shared" si="16"/>
        <v>39897.64755201096</v>
      </c>
      <c r="V111" s="1">
        <f t="shared" si="16"/>
        <v>40675.300856291833</v>
      </c>
      <c r="W111" s="1">
        <f t="shared" si="16"/>
        <v>43094.609241085833</v>
      </c>
      <c r="X111" s="1">
        <f t="shared" si="16"/>
        <v>46336.037807932087</v>
      </c>
      <c r="Y111" s="1">
        <f t="shared" si="16"/>
        <v>51705.671827185266</v>
      </c>
      <c r="Z111" s="1">
        <f t="shared" si="16"/>
        <v>43370.20047192472</v>
      </c>
      <c r="AA111" s="1">
        <f t="shared" si="16"/>
        <v>29865.196047382204</v>
      </c>
      <c r="AC111" s="1"/>
    </row>
  </sheetData>
  <mergeCells count="28">
    <mergeCell ref="E34:I34"/>
    <mergeCell ref="L34:N34"/>
    <mergeCell ref="Q34:S34"/>
    <mergeCell ref="Z35:AA35"/>
    <mergeCell ref="E37:T37"/>
    <mergeCell ref="V36:W36"/>
    <mergeCell ref="X36:Y36"/>
    <mergeCell ref="Z36:AA36"/>
    <mergeCell ref="E35:I35"/>
    <mergeCell ref="L35:N35"/>
    <mergeCell ref="Q35:S35"/>
    <mergeCell ref="V35:W35"/>
    <mergeCell ref="X35:Y35"/>
    <mergeCell ref="E33:I33"/>
    <mergeCell ref="L33:N33"/>
    <mergeCell ref="Q33:S33"/>
    <mergeCell ref="C2:N2"/>
    <mergeCell ref="E29:G29"/>
    <mergeCell ref="P29:Q29"/>
    <mergeCell ref="V29:W29"/>
    <mergeCell ref="X29:Y29"/>
    <mergeCell ref="Z29:AA29"/>
    <mergeCell ref="V34:W34"/>
    <mergeCell ref="X34:Y34"/>
    <mergeCell ref="Z34:AA34"/>
    <mergeCell ref="V33:W33"/>
    <mergeCell ref="X33:Y33"/>
    <mergeCell ref="Z33:AA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OvernightExecution-Mar16</vt:lpstr>
      <vt:lpstr>OvernightExecution-Mar25</vt:lpstr>
      <vt:lpstr>OvernightExecution-Apr-18</vt:lpstr>
      <vt:lpstr>Comparison</vt:lpstr>
      <vt:lpstr>Peak Sales Processing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Kumar</dc:creator>
  <cp:lastModifiedBy>Sharath Kumar</cp:lastModifiedBy>
  <dcterms:created xsi:type="dcterms:W3CDTF">2022-03-09T09:50:00Z</dcterms:created>
  <dcterms:modified xsi:type="dcterms:W3CDTF">2022-05-25T12:10:00Z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e2701-d386-483e-bca7-b4332176f258_Enabled">
    <vt:lpwstr>true</vt:lpwstr>
  </property>
  <property fmtid="{D5CDD505-2E9C-101B-9397-08002B2CF9AE}" pid="3" name="MSIP_Label_9aae2701-d386-483e-bca7-b4332176f258_SetDate">
    <vt:lpwstr>2022-03-09T09:50:01Z</vt:lpwstr>
  </property>
  <property fmtid="{D5CDD505-2E9C-101B-9397-08002B2CF9AE}" pid="4" name="MSIP_Label_9aae2701-d386-483e-bca7-b4332176f258_Method">
    <vt:lpwstr>Standard</vt:lpwstr>
  </property>
  <property fmtid="{D5CDD505-2E9C-101B-9397-08002B2CF9AE}" pid="5" name="MSIP_Label_9aae2701-d386-483e-bca7-b4332176f258_Name">
    <vt:lpwstr>General</vt:lpwstr>
  </property>
  <property fmtid="{D5CDD505-2E9C-101B-9397-08002B2CF9AE}" pid="6" name="MSIP_Label_9aae2701-d386-483e-bca7-b4332176f258_SiteId">
    <vt:lpwstr>4af8322c-80ee-4819-a9ce-863d5afbea1c</vt:lpwstr>
  </property>
  <property fmtid="{D5CDD505-2E9C-101B-9397-08002B2CF9AE}" pid="7" name="MSIP_Label_9aae2701-d386-483e-bca7-b4332176f258_ActionId">
    <vt:lpwstr>0c74e6a2-0ec5-43b8-b516-614d3a8e54b1</vt:lpwstr>
  </property>
  <property fmtid="{D5CDD505-2E9C-101B-9397-08002B2CF9AE}" pid="8" name="MSIP_Label_9aae2701-d386-483e-bca7-b4332176f258_ContentBits">
    <vt:lpwstr>0</vt:lpwstr>
  </property>
</Properties>
</file>