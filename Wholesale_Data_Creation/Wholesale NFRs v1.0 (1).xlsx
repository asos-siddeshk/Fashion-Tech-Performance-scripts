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sos1.sharepoint.com/sites/WholesaleStrategic/Shared Documents/Business Process/Requirements/"/>
    </mc:Choice>
  </mc:AlternateContent>
  <xr:revisionPtr revIDLastSave="0" documentId="8_{3C4526B3-C946-43E4-BB58-628D25DAE45E}" xr6:coauthVersionLast="47" xr6:coauthVersionMax="47" xr10:uidLastSave="{00000000-0000-0000-0000-000000000000}"/>
  <bookViews>
    <workbookView xWindow="-108" yWindow="-108" windowWidth="23256" windowHeight="12456" tabRatio="727" firstSheet="4" activeTab="4" xr2:uid="{006E0A72-5652-4089-BB28-8F1494F67934}"/>
  </bookViews>
  <sheets>
    <sheet name="NFR Register" sheetId="5" r:id="rId1"/>
    <sheet name="Volumetrics (General)" sheetId="6" r:id="rId2"/>
    <sheet name="Volumetrics (Batch)" sheetId="8" r:id="rId3"/>
    <sheet name="Performance (Apps)" sheetId="10" r:id="rId4"/>
    <sheet name="Vol &amp; Performance (Integration)" sheetId="9" r:id="rId5"/>
    <sheet name="WTSO Summary" sheetId="3" state="hidden" r:id="rId6"/>
    <sheet name="WTSO Detail" sheetId="1" state="hidden" r:id="rId7"/>
    <sheet name="WTSO SQL queries" sheetId="2" state="hidden" r:id="rId8"/>
  </sheets>
  <calcPr calcId="191028"/>
  <pivotCaches>
    <pivotCache cacheId="4319" r:id="rId9"/>
    <pivotCache cacheId="432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C6" i="6"/>
  <c r="C4" i="6"/>
  <c r="E4" i="6" s="1"/>
  <c r="F9" i="6"/>
  <c r="E9" i="6"/>
  <c r="E5" i="6"/>
  <c r="E6" i="6"/>
  <c r="E8" i="6"/>
  <c r="F8" i="6"/>
  <c r="D7" i="6"/>
  <c r="F7" i="6"/>
  <c r="F6" i="6"/>
  <c r="F5" i="6"/>
  <c r="F4" i="6"/>
  <c r="C7" i="6" l="1"/>
  <c r="E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Clubb</author>
  </authors>
  <commentList>
    <comment ref="F8" authorId="0" shapeId="0" xr:uid="{AB23AA62-62AC-48C0-8941-5C67BA857065}">
      <text>
        <r>
          <rPr>
            <sz val="11"/>
            <color theme="1"/>
            <rFont val="Calibri"/>
            <family val="2"/>
            <scheme val="minor"/>
          </rPr>
          <t>DAFITI	   7.29%
La Moda	  13.49%
Namshi	  11.43%
Nords Can  8.96%
Nords DIR 17.09%
Nords FLS 12.44%
Nords Rack 0.32%
Nords RSW  8.22%
The Iconic 8.09%
Yoox	   9.23%
Zalora	   3.44%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tc={1897DA22-0FCA-443A-BCE5-AEBABAC7D4F3}</author>
    <author>tc={7C5B96D8-7B3C-49F3-B8C3-3CE68EFF065F}</author>
  </authors>
  <commentList>
    <comment ref="G16" authorId="0" shapeId="0" xr:uid="{1897DA22-0FCA-443A-BCE5-AEBABAC7D4F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2023 projections</t>
      </text>
    </comment>
    <comment ref="G17" authorId="1" shapeId="0" xr:uid="{7C5B96D8-7B3C-49F3-B8C3-3CE68EFF065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2023 projections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Clubb</author>
  </authors>
  <commentList>
    <comment ref="J2" authorId="0" shapeId="0" xr:uid="{AE28C3A3-58B5-4BF2-9ADF-49EE3FDB47AA}">
      <text>
        <r>
          <rPr>
            <sz val="11"/>
            <color theme="1"/>
            <rFont val="Calibri"/>
            <family val="2"/>
            <scheme val="minor"/>
          </rPr>
          <t>Kevin Clubb as at Jun 22:
25 currently with a couple of people on Mat Leave</t>
        </r>
      </text>
    </comment>
  </commentList>
</comments>
</file>

<file path=xl/sharedStrings.xml><?xml version="1.0" encoding="utf-8"?>
<sst xmlns="http://schemas.openxmlformats.org/spreadsheetml/2006/main" count="833" uniqueCount="257">
  <si>
    <t>VSTS Link</t>
  </si>
  <si>
    <t>Title</t>
  </si>
  <si>
    <t>User Story</t>
  </si>
  <si>
    <t>Recorded date</t>
  </si>
  <si>
    <t>SLA</t>
  </si>
  <si>
    <t>In scope</t>
  </si>
  <si>
    <t>Notes</t>
  </si>
  <si>
    <t>(R1)</t>
  </si>
  <si>
    <t>Dashboard Refresh</t>
  </si>
  <si>
    <t xml:space="preserve">As part of the wholesale team I expect the wholesale dashboards to refresh periodically throughout the day </t>
  </si>
  <si>
    <t>Application Tab</t>
  </si>
  <si>
    <t>YES</t>
  </si>
  <si>
    <t>Sales Order Purge</t>
  </si>
  <si>
    <t>As part of the wholesale team I expect sales orders to be purged from the Wholesale Portal 2 years after release</t>
  </si>
  <si>
    <t>N/A</t>
  </si>
  <si>
    <t>Search results history</t>
  </si>
  <si>
    <t>As part of the wholesale team I expect a maximum of 500 results in any given search within the Wholesale Portal</t>
  </si>
  <si>
    <t>Search results volume</t>
  </si>
  <si>
    <t>As part of the wholesale team I expect to see 2 years history of sales orders in the Wholesale Portal</t>
  </si>
  <si>
    <t>Blob Storage Lifecycle Policy</t>
  </si>
  <si>
    <t>As part of the commercial support team I need the ability to view sales orders extracts for up to 2 weeks before they are purged</t>
  </si>
  <si>
    <t>Allocation Grouping for Pick Request Interface</t>
  </si>
  <si>
    <t xml:space="preserve">As a Wholesale Merchandiser I want the allocations that I have released to be grouped at the end of the business day and sent Supply Chain </t>
  </si>
  <si>
    <t>Volumetrics (Batch) Tab</t>
  </si>
  <si>
    <t>Yes</t>
  </si>
  <si>
    <t>Time to be confirmed but should be as soon as possible after the w/s team have completed the dailly allocation releases so that the Pick Instruction gets to the US in the same business day.</t>
  </si>
  <si>
    <t>Application users</t>
  </si>
  <si>
    <t>Need to accomodate n users in the portal</t>
  </si>
  <si>
    <t>Performance (Apps) Tab</t>
  </si>
  <si>
    <t>Need to gather this for the Perfomance Engineers</t>
  </si>
  <si>
    <t>WS Portal Performance</t>
  </si>
  <si>
    <t>Portal performance needs to meet defined SLAs</t>
  </si>
  <si>
    <t>Allocation volumes</t>
  </si>
  <si>
    <t>Need the ability to send 1000 allocations to Supply Chain systems per day at go live,  rising to 5000 per day by Aug 2023</t>
  </si>
  <si>
    <t>Metric</t>
  </si>
  <si>
    <t>System</t>
  </si>
  <si>
    <t>Volumes</t>
  </si>
  <si>
    <t>Peak calc</t>
  </si>
  <si>
    <t>Comments</t>
  </si>
  <si>
    <t>Calculations</t>
  </si>
  <si>
    <t>Assumption</t>
  </si>
  <si>
    <t>%</t>
  </si>
  <si>
    <t>Daily</t>
  </si>
  <si>
    <t>Weekly</t>
  </si>
  <si>
    <t>Peak ASN</t>
  </si>
  <si>
    <t>Peak</t>
  </si>
  <si>
    <t>Average</t>
  </si>
  <si>
    <t>Wholesale ASN's</t>
  </si>
  <si>
    <t>Rough estimate provided by Debs 02/02/22</t>
  </si>
  <si>
    <t>Wholesale Options</t>
  </si>
  <si>
    <t>Wholesale SKU's</t>
  </si>
  <si>
    <t>Based on an Av. SKU of 7</t>
  </si>
  <si>
    <t>Wholesale Allocations</t>
  </si>
  <si>
    <t>Pick List?</t>
  </si>
  <si>
    <t>3 x Nords / 2 x Other</t>
  </si>
  <si>
    <t>WTSO Sales Orders</t>
  </si>
  <si>
    <t>WTSO</t>
  </si>
  <si>
    <t>Manual</t>
  </si>
  <si>
    <t>Calculated from WTSO (Tues peak day)</t>
  </si>
  <si>
    <t>WTSO SO Cancelations</t>
  </si>
  <si>
    <t>Calculated from WTSO (Thu peak day)</t>
  </si>
  <si>
    <t>WTSO SO Amends</t>
  </si>
  <si>
    <t>WS Portal Allocation Release</t>
  </si>
  <si>
    <t>WS Portal</t>
  </si>
  <si>
    <t>Pending</t>
  </si>
  <si>
    <t>FYI: SL quoted Supply Chain 27 ASNs per day: 3 Partners x 3 DCs x 3 Brands per day rising to 6 partners in a year's time</t>
  </si>
  <si>
    <t>Application</t>
  </si>
  <si>
    <t>Batch ID</t>
  </si>
  <si>
    <t>BatchName</t>
  </si>
  <si>
    <t>Batch Details</t>
  </si>
  <si>
    <t>Frequency</t>
  </si>
  <si>
    <t>Units</t>
  </si>
  <si>
    <t>RMS</t>
  </si>
  <si>
    <t>RMS162</t>
  </si>
  <si>
    <t>ang_saplgen.pc</t>
  </si>
  <si>
    <t>Extract of POS Transactions by Store/Date from ReSA for Web Search - POSLOG file is generated</t>
  </si>
  <si>
    <t>WTSO_Extract</t>
  </si>
  <si>
    <t>Extracts sales orders from WTSO</t>
  </si>
  <si>
    <t>3 x Daily</t>
  </si>
  <si>
    <t>transactions/SKU/SO...??</t>
  </si>
  <si>
    <t>wp_refresh_dv</t>
  </si>
  <si>
    <t xml:space="preserve">Part of the ASOS Automic </t>
  </si>
  <si>
    <t>wp_refresh_uv</t>
  </si>
  <si>
    <t>wp_refresh_pruv</t>
  </si>
  <si>
    <t>wp_refresh_sor</t>
  </si>
  <si>
    <t>wp_refresh_up</t>
  </si>
  <si>
    <t>Wholesale Portal dashboard refresh jobs setup in Automic</t>
  </si>
  <si>
    <t>wp_refresh_mso</t>
  </si>
  <si>
    <t>wp_refresh_eso</t>
  </si>
  <si>
    <t>wp_refresh_curr_con</t>
  </si>
  <si>
    <t>WS_Portal_Import</t>
  </si>
  <si>
    <t>Imports sales orders into WS Portal</t>
  </si>
  <si>
    <t xml:space="preserve">3 x Daily </t>
  </si>
  <si>
    <t>wp_so_import_pre</t>
  </si>
  <si>
    <t>Part of the ASOS Automic</t>
  </si>
  <si>
    <t>wp_so_import</t>
  </si>
  <si>
    <t>RIS</t>
  </si>
  <si>
    <t>WS_Portal_Allocation_Export</t>
  </si>
  <si>
    <t>Grouped allocations from RMS to WMS</t>
  </si>
  <si>
    <t>1 x Daily</t>
  </si>
  <si>
    <t>SKU loc</t>
  </si>
  <si>
    <t>nb_zerout_stock_exec</t>
  </si>
  <si>
    <t>Partner Stock stock cleardown</t>
  </si>
  <si>
    <t>Users</t>
  </si>
  <si>
    <t>Total</t>
  </si>
  <si>
    <t>Value</t>
  </si>
  <si>
    <t>Unit</t>
  </si>
  <si>
    <t>15-20 if intake needs reviewing and if not 5-8 users</t>
  </si>
  <si>
    <t>Dashboard Refresh/Load</t>
  </si>
  <si>
    <t>secs</t>
  </si>
  <si>
    <t>To be confirmed</t>
  </si>
  <si>
    <t>Dashboard enlarge</t>
  </si>
  <si>
    <t>Pre Receipt Variance dashboard load</t>
  </si>
  <si>
    <t>Despatch Window Variance dashboard load</t>
  </si>
  <si>
    <t>Post Receipt Variance dashboard load</t>
  </si>
  <si>
    <t>Sales Order to Release dashboard load</t>
  </si>
  <si>
    <t>Unproductive Stock Dashboard load</t>
  </si>
  <si>
    <t>Order search</t>
  </si>
  <si>
    <t>Upload/Download actions</t>
  </si>
  <si>
    <t>Report exports</t>
  </si>
  <si>
    <t>Corporate Interface Flow ID</t>
  </si>
  <si>
    <t>Flow Name</t>
  </si>
  <si>
    <t>Data Entity</t>
  </si>
  <si>
    <t>Source System</t>
  </si>
  <si>
    <t>Target System</t>
  </si>
  <si>
    <t>Frequency Unit (Interval)</t>
  </si>
  <si>
    <t>Flow Grouping</t>
  </si>
  <si>
    <t>Corporate Flow Short reference ID</t>
  </si>
  <si>
    <t>Data Volume
(H/M/L)</t>
  </si>
  <si>
    <t>Transactions volumes</t>
  </si>
  <si>
    <t>MoM Transactions (i.e. RIB Messages)</t>
  </si>
  <si>
    <t>Integration Transactions 
(i.e. exploded RIB Messages)</t>
  </si>
  <si>
    <t>Business criticality
(H/M/L)</t>
  </si>
  <si>
    <t xml:space="preserve">Performance test
Mandatory / Desirable / Optional </t>
  </si>
  <si>
    <t>Inbound/Outbound</t>
  </si>
  <si>
    <t>Volumetrcis available</t>
  </si>
  <si>
    <t>Normal Day</t>
  </si>
  <si>
    <t>Peak Day</t>
  </si>
  <si>
    <t>Normal Hour</t>
  </si>
  <si>
    <t>Peak Hour</t>
  </si>
  <si>
    <t>Normal Average TPS</t>
  </si>
  <si>
    <t>Peak Average TPS</t>
  </si>
  <si>
    <t>BAM-ORMS-ORSA-006c</t>
  </si>
  <si>
    <t>Location from Oracle RMS to Oracle ReSA</t>
  </si>
  <si>
    <t>Location</t>
  </si>
  <si>
    <t>Oracle RMS</t>
  </si>
  <si>
    <t>Oracle ReSA</t>
  </si>
  <si>
    <t>Real-time</t>
  </si>
  <si>
    <t>BAM006 - Location</t>
  </si>
  <si>
    <t>BAM006c</t>
  </si>
  <si>
    <t>Low</t>
  </si>
  <si>
    <t> </t>
  </si>
  <si>
    <t>High</t>
  </si>
  <si>
    <t>Optional</t>
  </si>
  <si>
    <t>Outbound</t>
  </si>
  <si>
    <t>No</t>
  </si>
  <si>
    <t>BAM006</t>
  </si>
  <si>
    <t>BAM020</t>
  </si>
  <si>
    <t>Item Location</t>
  </si>
  <si>
    <t>BAM033</t>
  </si>
  <si>
    <t>PO</t>
  </si>
  <si>
    <t>BAM036</t>
  </si>
  <si>
    <t>PO ASNIn</t>
  </si>
  <si>
    <t>ASOS NET</t>
  </si>
  <si>
    <t>BAM107</t>
  </si>
  <si>
    <t>Split PO Allocations / IWT</t>
  </si>
  <si>
    <t>BAM043 / BAM034</t>
  </si>
  <si>
    <t>PO ASN Receipts</t>
  </si>
  <si>
    <t>WMS</t>
  </si>
  <si>
    <t>Sum of Num of Sales Orders</t>
  </si>
  <si>
    <t>Column Labels</t>
  </si>
  <si>
    <t>Row Labels</t>
  </si>
  <si>
    <t>Monday</t>
  </si>
  <si>
    <t>Tuesday</t>
  </si>
  <si>
    <t>Wednesday</t>
  </si>
  <si>
    <t>Thursday</t>
  </si>
  <si>
    <t>Friday</t>
  </si>
  <si>
    <t>Saturday</t>
  </si>
  <si>
    <t>Grand Total</t>
  </si>
  <si>
    <t>DAFITI</t>
  </si>
  <si>
    <t>La Moda</t>
  </si>
  <si>
    <t>Namshi</t>
  </si>
  <si>
    <t>Nordstrom Canada FLS</t>
  </si>
  <si>
    <t>Nordstrom DIR</t>
  </si>
  <si>
    <t>Nordstrom FLS</t>
  </si>
  <si>
    <t>Nordstrom Rack FLS</t>
  </si>
  <si>
    <t>Nordstrom RSW</t>
  </si>
  <si>
    <t>The Iconic</t>
  </si>
  <si>
    <t>Yoox</t>
  </si>
  <si>
    <t>Zalora</t>
  </si>
  <si>
    <t>Sum of Num of Sales Orders Cancellations</t>
  </si>
  <si>
    <t>Peak Quarter ordering for partner peak periods (assuming 6 month lead time)</t>
  </si>
  <si>
    <t>Sales Orders with Final Despatch Month of Jan-2022 or later</t>
  </si>
  <si>
    <t>with a value in one of the Total Units columns and a value in Order Returned Date* column of Dec-21 to Jan-22</t>
  </si>
  <si>
    <t>and a value in the Partner or the Order Cancellation Date column. For the purposes of this report the</t>
  </si>
  <si>
    <t xml:space="preserve">* The Order Returned Date column gets populated (if blank) by NuOrder Update process or </t>
  </si>
  <si>
    <t>CancellationDate shown is the partner date, if one exists, otherwise it is the order cancellation date.</t>
  </si>
  <si>
    <t>when entering original units</t>
  </si>
  <si>
    <t>with a value in one of the Total Units columns and a value in Order Returned Date column of Dec-21 to Jan-22</t>
  </si>
  <si>
    <t>without a value in one of the Total Units columns and a value in Order Returned Date column of Dec-21 to Jan-22</t>
  </si>
  <si>
    <t>with a value in Order Returned Date column of Dec-21 to Jan-22</t>
  </si>
  <si>
    <t>PartnerName</t>
  </si>
  <si>
    <t>DayOfWeek</t>
  </si>
  <si>
    <t>OrderReturnedDate</t>
  </si>
  <si>
    <t>Num of Sales Orders</t>
  </si>
  <si>
    <t>CancellationDate</t>
  </si>
  <si>
    <t>Num of Sales Orders with units</t>
  </si>
  <si>
    <t>Num of Sales Orders without units</t>
  </si>
  <si>
    <t>DECLARE @EARLIEST_DESPATCH_DATE date = '2022-01-01';</t>
  </si>
  <si>
    <t>DECLARE @EARLIEST_ORDER_RETURNED_DATE date = '2021-12-01';</t>
  </si>
  <si>
    <t>DECLARE @LATEST_ORDER_RETURNED_DATE date = '2022-01-31';</t>
  </si>
  <si>
    <t>'-- New orders by Order Returned Date. This gets populated (if blank) by NuOrder Update or when entering original units</t>
  </si>
  <si>
    <t>SELECT        p.PartnerName</t>
  </si>
  <si>
    <t xml:space="preserve">            , DATENAME(WEEKDAY,ort.OrderReturnedDate) AS DayOfWeek</t>
  </si>
  <si>
    <t xml:space="preserve">            , ort.OrderReturnedDate </t>
  </si>
  <si>
    <t xml:space="preserve">            , 'Num of Sales Orders' = COUNT(*)</t>
  </si>
  <si>
    <t>FROM        [wtso].[OrderRow] r</t>
  </si>
  <si>
    <t xml:space="preserve">            JOIN [wtso].[Brand] b ON r.BrandId = b.BrandId </t>
  </si>
  <si>
    <t xml:space="preserve">            JOIN [wtso].[OrderRowTiming] ort ON r.OrderRowId = ort.OrderRowId</t>
  </si>
  <si>
    <t xml:space="preserve">            JOIN [wtso].[SalesOrder] so ON so.OrderRowId = r.OrderRowId</t>
  </si>
  <si>
    <t xml:space="preserve">            JOIN [wtso].[Partner] p ON p.PartnerId = so.PartnerId</t>
  </si>
  <si>
    <t>WHERE        COALESCE (ort.RevisedDespatchMonth,ort.OriginalDespatchMonth) &gt;= @EARLIEST_DESPATCH_DATE</t>
  </si>
  <si>
    <t>AND            COALESCE (so.LastAgreedUnits, so.RevisedUnits, so.OriginalUnits) IS NOT NULL</t>
  </si>
  <si>
    <t>AND            COALESCE (ort.OrderReturnedDate, '1900-01-01') BETWEEN @EARLIEST_ORDER_RETURNED_DATE AND @LATEST_ORDER_RETURNED_DATE</t>
  </si>
  <si>
    <t>GROUP BY    p.PartnerName, ort.OrderReturnedDate</t>
  </si>
  <si>
    <t>ORDER BY    ort.OrderReturnedDate, p.PartnerName;</t>
  </si>
  <si>
    <t>'-- Cancellations by Date Cancelled, keep accurate count of partner orders cancelled</t>
  </si>
  <si>
    <t>SELECT    PartnerName</t>
  </si>
  <si>
    <t xml:space="preserve">        ,DATENAME(WEEKDAY,CancellationDate) AS DayOfWeek</t>
  </si>
  <si>
    <t xml:space="preserve">        ,CancellationDate</t>
  </si>
  <si>
    <t xml:space="preserve">        , 'Num of Sales Orders' = COUNT(*)</t>
  </si>
  <si>
    <t>FROM    (</t>
  </si>
  <si>
    <t xml:space="preserve">            SELECT    ort.CancellationDate AS CancellationDate, p.PartnerName AS PartnerName</t>
  </si>
  <si>
    <t xml:space="preserve">            FROM    [wtso].[OrderRow] r</t>
  </si>
  <si>
    <t xml:space="preserve">                    JOIN [wtso].[Brand] b ON r.BrandId = b.BrandId </t>
  </si>
  <si>
    <t xml:space="preserve">                    JOIN [wtso].[OrderRowTiming] ort ON r.OrderRowId = ort.OrderRowId</t>
  </si>
  <si>
    <t xml:space="preserve">                    JOIN [wtso].[OrderRowPartnerInfo] orpi ON r.OrderRowId = orpi.OrderRowId</t>
  </si>
  <si>
    <t xml:space="preserve">                    JOIN [wtso].[SalesOrder] so ON so.OrderRowId = r.OrderRowId AND so.PartnerId = orpi.PartnerId</t>
  </si>
  <si>
    <t xml:space="preserve">                    JOIN [wtso].[Partner] p ON p.PartnerId = so.PartnerId</t>
  </si>
  <si>
    <t xml:space="preserve">            WHERE    COALESCE (ort.RevisedDespatchMonth,ort.OriginalDespatchMonth) &gt;= @EARLIEST_DESPATCH_DATE</t>
  </si>
  <si>
    <t xml:space="preserve">            AND        COALESCE (so.LastAgreedUnits, so.RevisedUnits, so.OriginalUnits) IS NOT NULL</t>
  </si>
  <si>
    <t xml:space="preserve">            AND        COALESCE (ort.OrderReturnedDate, '1900-01-01') BETWEEN @EARLIEST_ORDER_RETURNED_DATE AND @LATEST_ORDER_RETURNED_DATE</t>
  </si>
  <si>
    <t xml:space="preserve">            AND        ort.CancellationDate IS NOT NULL</t>
  </si>
  <si>
    <t xml:space="preserve">            AND        orpi.PartnerCancellationDate IS NULL</t>
  </si>
  <si>
    <t xml:space="preserve">            UNION ALL</t>
  </si>
  <si>
    <t xml:space="preserve">            SELECT    orpi.PartnerCancellationDate AS CancellationDate, p.PartnerName AS PartnerName</t>
  </si>
  <si>
    <t xml:space="preserve">            AND        ort.CancellationDate IS NULL</t>
  </si>
  <si>
    <t xml:space="preserve">            AND        orpi.PartnerCancellationDate IS NOT NULL</t>
  </si>
  <si>
    <t xml:space="preserve">        ) AS Canx</t>
  </si>
  <si>
    <t>GROUP BY PartnerName, CancellationDate</t>
  </si>
  <si>
    <t>ORDER BY CancellationDate, PartnerName;</t>
  </si>
  <si>
    <t>'-- do some cross-checks</t>
  </si>
  <si>
    <t>SELECT        'Num of Sales Orders with units' = COUNT(*)</t>
  </si>
  <si>
    <t>AND            COALESCE (ort.OrderReturnedDate, '1900-01-01') BETWEEN @EARLIEST_ORDER_RETURNED_DATE AND @LATEST_ORDER_RETURNED_DATE;</t>
  </si>
  <si>
    <t>SELECT        'Num of Sales Orders without units' = COUNT(*)</t>
  </si>
  <si>
    <t>AND            COALESCE (so.LastAgreedUnits, so.RevisedUnits, so.OriginalUnits) IS NULL</t>
  </si>
  <si>
    <t>SELECT        'Num of Sales Orders' = COUNT(*)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</si>
</sst>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0"/>
      <color rgb="FF000000"/>
      <name val="Arial"/>
      <family val="2"/>
    </font>
    <font>
      <i/>
      <u/>
      <sz val="11"/>
      <color theme="10"/>
      <name val="Calibri"/>
      <family val="2"/>
      <scheme val="minor"/>
    </font>
    <font>
      <i/>
      <sz val="10"/>
      <name val="Arial"/>
      <family val="2"/>
    </font>
    <font>
      <b/>
      <i/>
      <sz val="10"/>
      <color rgb="FF000000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  <charset val="1"/>
    </font>
    <font>
      <b/>
      <sz val="11"/>
      <name val="Calibri"/>
      <family val="2"/>
    </font>
    <font>
      <b/>
      <sz val="10"/>
      <color rgb="FF000000"/>
      <name val="Calibri"/>
      <family val="2"/>
      <charset val="1"/>
    </font>
    <font>
      <b/>
      <sz val="10"/>
      <name val="Calibri"/>
      <family val="2"/>
      <charset val="1"/>
    </font>
    <font>
      <sz val="11"/>
      <color theme="1"/>
      <name val="Arial"/>
    </font>
    <font>
      <sz val="12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A6A6A6"/>
      <name val="Arial"/>
      <family val="2"/>
    </font>
    <font>
      <sz val="12"/>
      <color theme="1"/>
      <name val="Arial"/>
    </font>
    <font>
      <b/>
      <sz val="10"/>
      <color theme="1"/>
      <name val="Arial"/>
      <family val="2"/>
    </font>
    <font>
      <sz val="8"/>
      <color rgb="FF000000"/>
      <name val="Segoe U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DBDBDB"/>
        <bgColor rgb="FFFFFF00"/>
      </patternFill>
    </fill>
    <fill>
      <patternFill patternType="solid">
        <fgColor rgb="FFDBDBDB"/>
        <bgColor rgb="FFD7E3B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D7E3BC"/>
      </patternFill>
    </fill>
    <fill>
      <patternFill patternType="solid">
        <fgColor rgb="FFFFFF00"/>
        <bgColor rgb="FF993366"/>
      </patternFill>
    </fill>
    <fill>
      <patternFill patternType="solid">
        <fgColor rgb="FF92D050"/>
        <bgColor rgb="FF993366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2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4" fontId="0" fillId="2" borderId="0" xfId="0" applyNumberFormat="1" applyFill="1"/>
    <xf numFmtId="3" fontId="0" fillId="2" borderId="0" xfId="0" applyNumberFormat="1" applyFill="1"/>
    <xf numFmtId="0" fontId="2" fillId="3" borderId="1" xfId="0" applyFont="1" applyFill="1" applyBorder="1" applyAlignment="1">
      <alignment horizontal="center" vertical="top" wrapText="1"/>
    </xf>
    <xf numFmtId="0" fontId="11" fillId="0" borderId="0" xfId="0" applyFont="1"/>
    <xf numFmtId="0" fontId="3" fillId="0" borderId="5" xfId="0" applyFont="1" applyBorder="1" applyAlignment="1">
      <alignment vertical="top" wrapText="1"/>
    </xf>
    <xf numFmtId="15" fontId="3" fillId="0" borderId="5" xfId="0" applyNumberFormat="1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7" fillId="0" borderId="5" xfId="0" applyFont="1" applyBorder="1" applyAlignment="1">
      <alignment vertical="top" wrapText="1"/>
    </xf>
    <xf numFmtId="15" fontId="7" fillId="0" borderId="5" xfId="0" applyNumberFormat="1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4" fillId="3" borderId="3" xfId="0" applyFont="1" applyFill="1" applyBorder="1" applyAlignment="1">
      <alignment horizontal="center" vertical="top" wrapText="1"/>
    </xf>
    <xf numFmtId="0" fontId="6" fillId="0" borderId="6" xfId="1" applyFill="1" applyBorder="1" applyAlignment="1">
      <alignment horizontal="center" vertical="top"/>
    </xf>
    <xf numFmtId="0" fontId="3" fillId="0" borderId="7" xfId="0" applyFont="1" applyBorder="1" applyAlignment="1">
      <alignment vertical="top" wrapText="1"/>
    </xf>
    <xf numFmtId="15" fontId="3" fillId="0" borderId="7" xfId="0" applyNumberFormat="1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vertical="top" wrapText="1"/>
    </xf>
    <xf numFmtId="0" fontId="6" fillId="0" borderId="9" xfId="1" applyFill="1" applyBorder="1" applyAlignment="1">
      <alignment horizontal="center" vertical="top"/>
    </xf>
    <xf numFmtId="0" fontId="2" fillId="0" borderId="10" xfId="0" applyFont="1" applyBorder="1" applyAlignment="1">
      <alignment vertical="top" wrapText="1"/>
    </xf>
    <xf numFmtId="0" fontId="8" fillId="0" borderId="9" xfId="1" applyFont="1" applyFill="1" applyBorder="1" applyAlignment="1">
      <alignment horizontal="center" vertical="top"/>
    </xf>
    <xf numFmtId="0" fontId="10" fillId="0" borderId="10" xfId="0" applyFont="1" applyBorder="1" applyAlignment="1">
      <alignment vertical="top" wrapText="1"/>
    </xf>
    <xf numFmtId="0" fontId="6" fillId="0" borderId="11" xfId="1" applyFill="1" applyBorder="1" applyAlignment="1">
      <alignment horizontal="center" vertical="top"/>
    </xf>
    <xf numFmtId="0" fontId="3" fillId="0" borderId="12" xfId="0" applyFont="1" applyBorder="1" applyAlignment="1">
      <alignment vertical="top" wrapText="1"/>
    </xf>
    <xf numFmtId="15" fontId="3" fillId="0" borderId="12" xfId="0" applyNumberFormat="1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3" fillId="4" borderId="5" xfId="0" applyFont="1" applyFill="1" applyBorder="1" applyAlignment="1">
      <alignment vertical="top" wrapText="1"/>
    </xf>
    <xf numFmtId="0" fontId="14" fillId="4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horizontal="center" vertical="top"/>
    </xf>
    <xf numFmtId="0" fontId="13" fillId="4" borderId="5" xfId="0" applyFont="1" applyFill="1" applyBorder="1" applyAlignment="1">
      <alignment vertical="top"/>
    </xf>
    <xf numFmtId="0" fontId="13" fillId="0" borderId="9" xfId="0" applyFont="1" applyBorder="1" applyAlignment="1">
      <alignment vertical="top"/>
    </xf>
    <xf numFmtId="0" fontId="13" fillId="4" borderId="10" xfId="0" applyFont="1" applyFill="1" applyBorder="1" applyAlignment="1">
      <alignment vertical="top"/>
    </xf>
    <xf numFmtId="0" fontId="13" fillId="0" borderId="11" xfId="0" applyFont="1" applyBorder="1" applyAlignment="1">
      <alignment vertical="top"/>
    </xf>
    <xf numFmtId="0" fontId="13" fillId="4" borderId="12" xfId="0" applyFont="1" applyFill="1" applyBorder="1" applyAlignment="1">
      <alignment vertical="top" wrapText="1"/>
    </xf>
    <xf numFmtId="0" fontId="14" fillId="4" borderId="12" xfId="0" applyFont="1" applyFill="1" applyBorder="1" applyAlignment="1">
      <alignment vertical="top" wrapText="1"/>
    </xf>
    <xf numFmtId="0" fontId="13" fillId="4" borderId="12" xfId="0" applyFont="1" applyFill="1" applyBorder="1" applyAlignment="1">
      <alignment horizontal="center" vertical="top"/>
    </xf>
    <xf numFmtId="0" fontId="13" fillId="4" borderId="12" xfId="0" applyFont="1" applyFill="1" applyBorder="1" applyAlignment="1">
      <alignment vertical="top"/>
    </xf>
    <xf numFmtId="0" fontId="13" fillId="4" borderId="13" xfId="0" applyFont="1" applyFill="1" applyBorder="1" applyAlignment="1">
      <alignment vertical="top"/>
    </xf>
    <xf numFmtId="0" fontId="15" fillId="6" borderId="12" xfId="0" applyFont="1" applyFill="1" applyBorder="1" applyAlignment="1">
      <alignment horizontal="center" vertical="top" wrapText="1"/>
    </xf>
    <xf numFmtId="0" fontId="15" fillId="7" borderId="12" xfId="0" applyFont="1" applyFill="1" applyBorder="1" applyAlignment="1">
      <alignment horizontal="center" vertical="top" wrapText="1"/>
    </xf>
    <xf numFmtId="0" fontId="13" fillId="0" borderId="22" xfId="0" applyFont="1" applyBorder="1" applyAlignment="1">
      <alignment vertical="top"/>
    </xf>
    <xf numFmtId="0" fontId="13" fillId="4" borderId="23" xfId="0" applyFont="1" applyFill="1" applyBorder="1" applyAlignment="1">
      <alignment vertical="top" wrapText="1"/>
    </xf>
    <xf numFmtId="0" fontId="14" fillId="4" borderId="23" xfId="0" applyFont="1" applyFill="1" applyBorder="1" applyAlignment="1">
      <alignment vertical="top" wrapText="1"/>
    </xf>
    <xf numFmtId="0" fontId="13" fillId="4" borderId="23" xfId="0" applyFont="1" applyFill="1" applyBorder="1" applyAlignment="1">
      <alignment horizontal="center" vertical="top"/>
    </xf>
    <xf numFmtId="0" fontId="13" fillId="4" borderId="23" xfId="0" applyFont="1" applyFill="1" applyBorder="1" applyAlignment="1">
      <alignment vertical="top"/>
    </xf>
    <xf numFmtId="0" fontId="13" fillId="4" borderId="24" xfId="0" applyFont="1" applyFill="1" applyBorder="1" applyAlignment="1">
      <alignment vertical="top"/>
    </xf>
    <xf numFmtId="0" fontId="18" fillId="0" borderId="0" xfId="0" applyFont="1" applyAlignment="1">
      <alignment vertical="top"/>
    </xf>
    <xf numFmtId="0" fontId="20" fillId="5" borderId="16" xfId="0" applyFont="1" applyFill="1" applyBorder="1" applyAlignment="1">
      <alignment horizontal="center" vertical="top"/>
    </xf>
    <xf numFmtId="0" fontId="20" fillId="5" borderId="17" xfId="0" applyFont="1" applyFill="1" applyBorder="1" applyAlignment="1">
      <alignment horizontal="center" vertical="top"/>
    </xf>
    <xf numFmtId="0" fontId="20" fillId="5" borderId="14" xfId="0" applyFont="1" applyFill="1" applyBorder="1" applyAlignment="1">
      <alignment horizontal="center" vertical="top"/>
    </xf>
    <xf numFmtId="0" fontId="21" fillId="0" borderId="18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9" fontId="19" fillId="0" borderId="15" xfId="0" applyNumberFormat="1" applyFont="1" applyBorder="1" applyAlignment="1">
      <alignment horizontal="center" vertical="top"/>
    </xf>
    <xf numFmtId="0" fontId="19" fillId="0" borderId="20" xfId="0" applyFont="1" applyBorder="1" applyAlignment="1">
      <alignment horizontal="center" vertical="top" wrapText="1"/>
    </xf>
    <xf numFmtId="0" fontId="19" fillId="0" borderId="21" xfId="0" applyFont="1" applyBorder="1" applyAlignment="1">
      <alignment horizontal="center" vertical="top" wrapText="1"/>
    </xf>
    <xf numFmtId="0" fontId="22" fillId="0" borderId="0" xfId="0" applyFont="1" applyAlignment="1">
      <alignment vertical="top"/>
    </xf>
    <xf numFmtId="10" fontId="22" fillId="0" borderId="0" xfId="0" applyNumberFormat="1" applyFont="1" applyAlignment="1">
      <alignment vertical="top"/>
    </xf>
    <xf numFmtId="0" fontId="21" fillId="0" borderId="5" xfId="0" applyFont="1" applyBorder="1" applyAlignment="1">
      <alignment vertical="top" wrapText="1"/>
    </xf>
    <xf numFmtId="0" fontId="25" fillId="0" borderId="5" xfId="0" applyFont="1" applyBorder="1" applyAlignment="1">
      <alignment horizontal="right" vertical="top"/>
    </xf>
    <xf numFmtId="0" fontId="18" fillId="0" borderId="5" xfId="0" applyFont="1" applyBorder="1" applyAlignment="1">
      <alignment horizontal="right" vertical="top"/>
    </xf>
    <xf numFmtId="0" fontId="18" fillId="0" borderId="5" xfId="0" applyFont="1" applyBorder="1" applyAlignment="1">
      <alignment vertical="top"/>
    </xf>
    <xf numFmtId="0" fontId="21" fillId="0" borderId="9" xfId="0" applyFont="1" applyBorder="1" applyAlignment="1">
      <alignment vertical="top" wrapText="1"/>
    </xf>
    <xf numFmtId="0" fontId="25" fillId="0" borderId="10" xfId="0" applyFont="1" applyBorder="1" applyAlignment="1">
      <alignment vertical="top"/>
    </xf>
    <xf numFmtId="0" fontId="18" fillId="0" borderId="10" xfId="0" applyFont="1" applyBorder="1" applyAlignment="1">
      <alignment vertical="top"/>
    </xf>
    <xf numFmtId="0" fontId="18" fillId="0" borderId="9" xfId="0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18" fillId="0" borderId="12" xfId="0" applyFont="1" applyBorder="1" applyAlignment="1">
      <alignment vertical="top"/>
    </xf>
    <xf numFmtId="0" fontId="18" fillId="0" borderId="13" xfId="0" applyFont="1" applyBorder="1" applyAlignment="1">
      <alignment vertical="top"/>
    </xf>
    <xf numFmtId="0" fontId="24" fillId="0" borderId="12" xfId="0" applyFont="1" applyBorder="1" applyAlignment="1">
      <alignment horizontal="center" vertical="top"/>
    </xf>
    <xf numFmtId="0" fontId="21" fillId="0" borderId="22" xfId="0" applyFont="1" applyBorder="1" applyAlignment="1">
      <alignment vertical="top" wrapText="1"/>
    </xf>
    <xf numFmtId="0" fontId="25" fillId="0" borderId="23" xfId="0" applyFont="1" applyBorder="1" applyAlignment="1">
      <alignment horizontal="right" vertical="top"/>
    </xf>
    <xf numFmtId="0" fontId="25" fillId="0" borderId="24" xfId="0" applyFont="1" applyBorder="1" applyAlignment="1">
      <alignment vertical="top"/>
    </xf>
    <xf numFmtId="0" fontId="18" fillId="0" borderId="26" xfId="0" applyFont="1" applyBorder="1" applyAlignment="1">
      <alignment vertical="top"/>
    </xf>
    <xf numFmtId="0" fontId="18" fillId="0" borderId="27" xfId="0" applyFont="1" applyBorder="1" applyAlignment="1">
      <alignment vertical="top"/>
    </xf>
    <xf numFmtId="0" fontId="24" fillId="0" borderId="11" xfId="0" applyFont="1" applyBorder="1" applyAlignment="1">
      <alignment horizontal="center" vertical="top"/>
    </xf>
    <xf numFmtId="0" fontId="24" fillId="0" borderId="13" xfId="0" applyFont="1" applyBorder="1" applyAlignment="1">
      <alignment horizontal="center" vertical="top"/>
    </xf>
    <xf numFmtId="0" fontId="18" fillId="0" borderId="5" xfId="0" applyFont="1" applyBorder="1" applyAlignment="1">
      <alignment horizontal="center" vertical="top"/>
    </xf>
    <xf numFmtId="0" fontId="18" fillId="0" borderId="12" xfId="0" applyFont="1" applyBorder="1" applyAlignment="1">
      <alignment horizontal="center" vertical="top"/>
    </xf>
    <xf numFmtId="0" fontId="21" fillId="0" borderId="23" xfId="0" applyFont="1" applyBorder="1" applyAlignment="1">
      <alignment vertical="top" wrapText="1"/>
    </xf>
    <xf numFmtId="0" fontId="25" fillId="0" borderId="22" xfId="0" applyFont="1" applyBorder="1" applyAlignment="1">
      <alignment horizontal="right" vertical="top"/>
    </xf>
    <xf numFmtId="0" fontId="25" fillId="0" borderId="24" xfId="0" applyFont="1" applyBorder="1" applyAlignment="1">
      <alignment horizontal="right" vertical="top"/>
    </xf>
    <xf numFmtId="0" fontId="25" fillId="0" borderId="9" xfId="0" applyFont="1" applyBorder="1" applyAlignment="1">
      <alignment horizontal="right" vertical="top"/>
    </xf>
    <xf numFmtId="0" fontId="25" fillId="0" borderId="10" xfId="0" applyFont="1" applyBorder="1" applyAlignment="1">
      <alignment horizontal="right" vertical="top"/>
    </xf>
    <xf numFmtId="0" fontId="18" fillId="0" borderId="9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/>
    </xf>
    <xf numFmtId="0" fontId="21" fillId="0" borderId="28" xfId="0" applyFont="1" applyBorder="1" applyAlignment="1">
      <alignment vertical="top" wrapText="1"/>
    </xf>
    <xf numFmtId="0" fontId="21" fillId="0" borderId="26" xfId="0" applyFont="1" applyBorder="1" applyAlignment="1">
      <alignment vertical="top" wrapText="1"/>
    </xf>
    <xf numFmtId="9" fontId="25" fillId="0" borderId="32" xfId="0" applyNumberFormat="1" applyFont="1" applyBorder="1" applyAlignment="1">
      <alignment horizontal="center" vertical="top"/>
    </xf>
    <xf numFmtId="9" fontId="25" fillId="0" borderId="30" xfId="0" applyNumberFormat="1" applyFont="1" applyBorder="1" applyAlignment="1">
      <alignment horizontal="center" vertical="top"/>
    </xf>
    <xf numFmtId="0" fontId="18" fillId="0" borderId="30" xfId="0" applyFont="1" applyBorder="1" applyAlignment="1">
      <alignment horizontal="center" vertical="top"/>
    </xf>
    <xf numFmtId="0" fontId="18" fillId="0" borderId="31" xfId="0" applyFont="1" applyBorder="1" applyAlignment="1">
      <alignment horizontal="center" vertical="top"/>
    </xf>
    <xf numFmtId="0" fontId="25" fillId="0" borderId="23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vertical="top"/>
    </xf>
    <xf numFmtId="15" fontId="3" fillId="0" borderId="7" xfId="0" applyNumberFormat="1" applyFont="1" applyBorder="1" applyAlignment="1">
      <alignment horizontal="center" vertical="top" wrapText="1"/>
    </xf>
    <xf numFmtId="15" fontId="3" fillId="0" borderId="5" xfId="0" applyNumberFormat="1" applyFont="1" applyBorder="1" applyAlignment="1">
      <alignment horizontal="center" vertical="top" wrapText="1"/>
    </xf>
    <xf numFmtId="15" fontId="7" fillId="0" borderId="5" xfId="0" applyNumberFormat="1" applyFont="1" applyBorder="1" applyAlignment="1">
      <alignment horizontal="center" vertical="top" wrapText="1"/>
    </xf>
    <xf numFmtId="15" fontId="3" fillId="0" borderId="12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8" fillId="0" borderId="36" xfId="0" applyFont="1" applyBorder="1" applyAlignment="1">
      <alignment vertical="top"/>
    </xf>
    <xf numFmtId="0" fontId="18" fillId="0" borderId="37" xfId="0" applyFont="1" applyBorder="1" applyAlignment="1">
      <alignment vertical="top"/>
    </xf>
    <xf numFmtId="0" fontId="18" fillId="0" borderId="37" xfId="0" applyFont="1" applyBorder="1" applyAlignment="1">
      <alignment horizontal="center" vertical="top"/>
    </xf>
    <xf numFmtId="0" fontId="18" fillId="0" borderId="38" xfId="0" applyFont="1" applyBorder="1" applyAlignment="1">
      <alignment vertical="top"/>
    </xf>
    <xf numFmtId="0" fontId="21" fillId="15" borderId="22" xfId="0" applyFont="1" applyFill="1" applyBorder="1" applyAlignment="1">
      <alignment vertical="top" wrapText="1"/>
    </xf>
    <xf numFmtId="0" fontId="21" fillId="15" borderId="23" xfId="0" applyFont="1" applyFill="1" applyBorder="1" applyAlignment="1">
      <alignment vertical="top" wrapText="1"/>
    </xf>
    <xf numFmtId="0" fontId="18" fillId="15" borderId="9" xfId="0" applyFont="1" applyFill="1" applyBorder="1" applyAlignment="1">
      <alignment vertical="top"/>
    </xf>
    <xf numFmtId="0" fontId="18" fillId="15" borderId="5" xfId="0" applyFont="1" applyFill="1" applyBorder="1" applyAlignment="1">
      <alignment vertical="top"/>
    </xf>
    <xf numFmtId="0" fontId="18" fillId="15" borderId="10" xfId="0" applyFont="1" applyFill="1" applyBorder="1" applyAlignment="1">
      <alignment vertical="top"/>
    </xf>
    <xf numFmtId="0" fontId="18" fillId="15" borderId="30" xfId="0" applyFont="1" applyFill="1" applyBorder="1" applyAlignment="1">
      <alignment horizontal="center" vertical="top"/>
    </xf>
    <xf numFmtId="0" fontId="29" fillId="0" borderId="0" xfId="0" applyFont="1" applyAlignment="1">
      <alignment vertical="center" wrapText="1"/>
    </xf>
    <xf numFmtId="0" fontId="12" fillId="0" borderId="39" xfId="0" applyFont="1" applyBorder="1" applyAlignment="1">
      <alignment horizontal="center" vertical="top" wrapText="1"/>
    </xf>
    <xf numFmtId="0" fontId="26" fillId="0" borderId="39" xfId="0" applyFont="1" applyBorder="1" applyAlignment="1">
      <alignment vertical="top"/>
    </xf>
    <xf numFmtId="0" fontId="26" fillId="0" borderId="39" xfId="0" applyFont="1" applyBorder="1" applyAlignment="1">
      <alignment vertical="top" wrapText="1"/>
    </xf>
    <xf numFmtId="0" fontId="5" fillId="0" borderId="39" xfId="0" applyFont="1" applyBorder="1" applyAlignment="1">
      <alignment vertical="top"/>
    </xf>
    <xf numFmtId="0" fontId="5" fillId="0" borderId="39" xfId="0" applyFont="1" applyBorder="1" applyAlignment="1">
      <alignment vertical="top" wrapText="1"/>
    </xf>
    <xf numFmtId="0" fontId="28" fillId="0" borderId="39" xfId="0" applyFont="1" applyBorder="1" applyAlignment="1">
      <alignment horizontal="center" vertical="top"/>
    </xf>
    <xf numFmtId="0" fontId="31" fillId="0" borderId="39" xfId="0" applyFont="1" applyBorder="1" applyAlignment="1">
      <alignment vertical="top"/>
    </xf>
    <xf numFmtId="0" fontId="5" fillId="0" borderId="39" xfId="0" applyFont="1" applyBorder="1" applyAlignment="1">
      <alignment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35" xfId="0" applyFont="1" applyFill="1" applyBorder="1" applyAlignment="1">
      <alignment horizontal="center" vertical="top" wrapText="1"/>
    </xf>
    <xf numFmtId="0" fontId="23" fillId="0" borderId="8" xfId="0" applyFont="1" applyBorder="1" applyAlignment="1">
      <alignment horizontal="center" vertical="top"/>
    </xf>
    <xf numFmtId="0" fontId="23" fillId="0" borderId="10" xfId="0" applyFont="1" applyBorder="1" applyAlignment="1">
      <alignment horizontal="center" vertical="top"/>
    </xf>
    <xf numFmtId="0" fontId="23" fillId="0" borderId="13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top"/>
    </xf>
    <xf numFmtId="0" fontId="23" fillId="0" borderId="9" xfId="0" applyFont="1" applyBorder="1" applyAlignment="1">
      <alignment horizontal="center" vertical="top"/>
    </xf>
    <xf numFmtId="0" fontId="23" fillId="0" borderId="11" xfId="0" applyFont="1" applyBorder="1" applyAlignment="1">
      <alignment horizontal="center" vertical="top"/>
    </xf>
    <xf numFmtId="0" fontId="24" fillId="0" borderId="9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3" fillId="0" borderId="7" xfId="0" applyFont="1" applyBorder="1" applyAlignment="1">
      <alignment horizontal="center" vertical="top"/>
    </xf>
    <xf numFmtId="0" fontId="24" fillId="0" borderId="10" xfId="0" applyFont="1" applyBorder="1" applyAlignment="1">
      <alignment horizontal="center" vertical="top"/>
    </xf>
    <xf numFmtId="0" fontId="23" fillId="0" borderId="29" xfId="0" applyFont="1" applyBorder="1" applyAlignment="1">
      <alignment horizontal="center" vertical="top" wrapText="1"/>
    </xf>
    <xf numFmtId="0" fontId="23" fillId="0" borderId="30" xfId="0" applyFont="1" applyBorder="1" applyAlignment="1">
      <alignment horizontal="center" vertical="top" wrapText="1"/>
    </xf>
    <xf numFmtId="0" fontId="23" fillId="0" borderId="31" xfId="0" applyFont="1" applyBorder="1" applyAlignment="1">
      <alignment horizontal="center" vertical="top" wrapText="1"/>
    </xf>
    <xf numFmtId="0" fontId="23" fillId="0" borderId="25" xfId="0" applyFont="1" applyBorder="1" applyAlignment="1">
      <alignment horizontal="center" vertical="top"/>
    </xf>
    <xf numFmtId="0" fontId="23" fillId="0" borderId="26" xfId="0" applyFont="1" applyBorder="1" applyAlignment="1">
      <alignment horizontal="center" vertical="top"/>
    </xf>
    <xf numFmtId="0" fontId="23" fillId="0" borderId="27" xfId="0" applyFont="1" applyBorder="1" applyAlignment="1">
      <alignment horizontal="center" vertical="top"/>
    </xf>
    <xf numFmtId="0" fontId="32" fillId="0" borderId="39" xfId="1" applyFont="1" applyBorder="1" applyAlignment="1">
      <alignment horizontal="left" vertical="top" wrapText="1"/>
    </xf>
    <xf numFmtId="0" fontId="5" fillId="0" borderId="39" xfId="0" applyFont="1" applyBorder="1" applyAlignment="1">
      <alignment horizontal="left" vertical="top" wrapText="1"/>
    </xf>
    <xf numFmtId="0" fontId="12" fillId="0" borderId="39" xfId="0" applyFont="1" applyBorder="1" applyAlignment="1">
      <alignment horizontal="center" vertical="top" wrapText="1"/>
    </xf>
    <xf numFmtId="0" fontId="30" fillId="0" borderId="39" xfId="0" applyFont="1" applyBorder="1" applyAlignment="1">
      <alignment horizontal="center" vertical="top"/>
    </xf>
    <xf numFmtId="0" fontId="23" fillId="0" borderId="12" xfId="0" applyFont="1" applyBorder="1" applyAlignment="1">
      <alignment horizontal="center" vertical="top"/>
    </xf>
    <xf numFmtId="0" fontId="23" fillId="0" borderId="33" xfId="0" applyFont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5" fillId="0" borderId="10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top" wrapText="1"/>
    </xf>
    <xf numFmtId="0" fontId="16" fillId="10" borderId="12" xfId="0" applyFont="1" applyFill="1" applyBorder="1" applyAlignment="1">
      <alignment horizontal="center" vertical="top" wrapText="1"/>
    </xf>
    <xf numFmtId="0" fontId="16" fillId="9" borderId="7" xfId="0" applyFont="1" applyFill="1" applyBorder="1" applyAlignment="1">
      <alignment horizontal="center" vertical="top" wrapText="1"/>
    </xf>
    <xf numFmtId="0" fontId="16" fillId="9" borderId="12" xfId="0" applyFont="1" applyFill="1" applyBorder="1" applyAlignment="1">
      <alignment horizontal="center" vertical="top" wrapText="1"/>
    </xf>
    <xf numFmtId="0" fontId="16" fillId="8" borderId="6" xfId="0" applyFont="1" applyFill="1" applyBorder="1" applyAlignment="1">
      <alignment horizontal="center" vertical="top" wrapText="1"/>
    </xf>
    <xf numFmtId="0" fontId="16" fillId="8" borderId="11" xfId="0" applyFont="1" applyFill="1" applyBorder="1" applyAlignment="1">
      <alignment horizontal="center" vertical="top" wrapText="1"/>
    </xf>
    <xf numFmtId="0" fontId="17" fillId="13" borderId="7" xfId="0" applyFont="1" applyFill="1" applyBorder="1" applyAlignment="1">
      <alignment horizontal="center" vertical="top" wrapText="1"/>
    </xf>
    <xf numFmtId="0" fontId="17" fillId="13" borderId="12" xfId="0" applyFont="1" applyFill="1" applyBorder="1" applyAlignment="1">
      <alignment horizontal="center" vertical="top" wrapText="1"/>
    </xf>
    <xf numFmtId="0" fontId="17" fillId="14" borderId="7" xfId="0" applyFont="1" applyFill="1" applyBorder="1" applyAlignment="1">
      <alignment horizontal="center" vertical="top" wrapText="1"/>
    </xf>
    <xf numFmtId="0" fontId="17" fillId="14" borderId="12" xfId="0" applyFont="1" applyFill="1" applyBorder="1" applyAlignment="1">
      <alignment horizontal="center" vertical="top" wrapText="1"/>
    </xf>
    <xf numFmtId="0" fontId="17" fillId="14" borderId="8" xfId="0" applyFont="1" applyFill="1" applyBorder="1" applyAlignment="1">
      <alignment horizontal="center" vertical="top" wrapText="1"/>
    </xf>
    <xf numFmtId="0" fontId="17" fillId="14" borderId="13" xfId="0" applyFont="1" applyFill="1" applyBorder="1" applyAlignment="1">
      <alignment horizontal="center" vertical="top" wrapText="1"/>
    </xf>
    <xf numFmtId="0" fontId="15" fillId="6" borderId="7" xfId="0" applyFont="1" applyFill="1" applyBorder="1" applyAlignment="1">
      <alignment horizontal="center" vertical="top"/>
    </xf>
    <xf numFmtId="0" fontId="15" fillId="7" borderId="7" xfId="0" applyFont="1" applyFill="1" applyBorder="1" applyAlignment="1">
      <alignment horizontal="center" vertical="top" wrapText="1"/>
    </xf>
    <xf numFmtId="0" fontId="16" fillId="12" borderId="7" xfId="0" applyFont="1" applyFill="1" applyBorder="1" applyAlignment="1">
      <alignment horizontal="center" vertical="top" wrapText="1"/>
    </xf>
    <xf numFmtId="0" fontId="16" fillId="12" borderId="12" xfId="0" applyFont="1" applyFill="1" applyBorder="1" applyAlignment="1">
      <alignment horizontal="center" vertical="top" wrapText="1"/>
    </xf>
    <xf numFmtId="0" fontId="16" fillId="11" borderId="7" xfId="0" applyFont="1" applyFill="1" applyBorder="1" applyAlignment="1">
      <alignment horizontal="center" vertical="top" wrapText="1"/>
    </xf>
    <xf numFmtId="0" fontId="16" fillId="11" borderId="1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13</xdr:row>
      <xdr:rowOff>0</xdr:rowOff>
    </xdr:from>
    <xdr:to>
      <xdr:col>35</xdr:col>
      <xdr:colOff>123825</xdr:colOff>
      <xdr:row>30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576C2-D2A3-8F46-BC55-FB8F5FAC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87925" y="1733550"/>
          <a:ext cx="9124950" cy="3409950"/>
        </a:xfrm>
        <a:prstGeom prst="rect">
          <a:avLst/>
        </a:prstGeom>
      </xdr:spPr>
    </xdr:pic>
    <xdr:clientData/>
  </xdr:twoCellAnchor>
  <xdr:twoCellAnchor editAs="oneCell">
    <xdr:from>
      <xdr:col>1</xdr:col>
      <xdr:colOff>1924050</xdr:colOff>
      <xdr:row>6</xdr:row>
      <xdr:rowOff>314325</xdr:rowOff>
    </xdr:from>
    <xdr:to>
      <xdr:col>13</xdr:col>
      <xdr:colOff>323850</xdr:colOff>
      <xdr:row>25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2003E0-0F7B-5F19-FC3C-CBB045CD116F}"/>
            </a:ext>
            <a:ext uri="{147F2762-F138-4A5C-976F-8EAC2B608ADB}">
              <a16:predDERef xmlns:a16="http://schemas.microsoft.com/office/drawing/2014/main" pred="{F99576C2-D2A3-8F46-BC55-FB8F5FAC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1943100"/>
          <a:ext cx="8963025" cy="33147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vin Clubb" id="{78C1BEBF-D4B4-49A8-A80C-3A9074A35337}" userId="S::kevin.clubb@asos.com::270c3a02-d76d-4634-81fd-e751f80d9e2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 Letten" refreshedDate="44601.552228009263" createdVersion="6" refreshedVersion="6" minRefreshableVersion="3" recordCount="71" xr:uid="{BF5FFECC-E37C-4E6A-B084-56543D89ED3A}">
  <cacheSource type="worksheet">
    <worksheetSource ref="G7:J78" sheet="WTSO Detail"/>
  </cacheSource>
  <cacheFields count="4">
    <cacheField name="PartnerName" numFmtId="0">
      <sharedItems count="10">
        <s v="La Moda"/>
        <s v="Namshi"/>
        <s v="Nordstrom Canada FLS"/>
        <s v="Nordstrom DIR"/>
        <s v="Nordstrom FLS"/>
        <s v="Yoox"/>
        <s v="DAFITI"/>
        <s v="The Iconic"/>
        <s v="Nordstrom RSW"/>
        <s v="Zalora"/>
      </sharedItems>
    </cacheField>
    <cacheField name="DayOfWeek" numFmtId="0">
      <sharedItems count="5">
        <s v="Friday"/>
        <s v="Wednesday"/>
        <s v="Thursday"/>
        <s v="Tuesday"/>
        <s v="Monday"/>
      </sharedItems>
    </cacheField>
    <cacheField name="CancellationDate" numFmtId="14">
      <sharedItems containsNonDate="0" containsDate="1" containsString="0" containsBlank="1" minDate="2021-12-08T00:00:00" maxDate="2022-02-04T00:00:00"/>
    </cacheField>
    <cacheField name="Num of Sales Orders" numFmtId="3">
      <sharedItems containsString="0" containsBlank="1" containsNumber="1" containsInteger="1" minValue="1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 Letten" refreshedDate="44601.552270601853" createdVersion="6" refreshedVersion="6" minRefreshableVersion="3" recordCount="146" xr:uid="{1D9A0C52-F647-43B1-B279-463CA0896E31}">
  <cacheSource type="worksheet">
    <worksheetSource ref="A7:D153" sheet="WTSO Detail"/>
  </cacheSource>
  <cacheFields count="4">
    <cacheField name="PartnerName" numFmtId="0">
      <sharedItems count="11">
        <s v="La Moda"/>
        <s v="DAFITI"/>
        <s v="Namshi"/>
        <s v="Nordstrom Canada FLS"/>
        <s v="Nordstrom DIR"/>
        <s v="Nordstrom FLS"/>
        <s v="The Iconic"/>
        <s v="Yoox"/>
        <s v="Nordstrom RSW"/>
        <s v="Zalora"/>
        <s v="Nordstrom Rack FLS"/>
      </sharedItems>
    </cacheField>
    <cacheField name="DayOfWeek" numFmtId="0">
      <sharedItems count="6">
        <s v="Monday"/>
        <s v="Friday"/>
        <s v="Tuesday"/>
        <s v="Thursday"/>
        <s v="Saturday"/>
        <s v="Wednesday"/>
      </sharedItems>
    </cacheField>
    <cacheField name="OrderReturnedDate" numFmtId="14">
      <sharedItems containsNonDate="0" containsDate="1" containsString="0" containsBlank="1" minDate="2021-12-03T00:00:00" maxDate="2022-01-28T00:00:00"/>
    </cacheField>
    <cacheField name="Num of Sales Orders" numFmtId="3">
      <sharedItems containsString="0" containsBlank="1" containsNumber="1" containsInteger="1" minValue="1" maxValue="1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x v="0"/>
    <m/>
    <m/>
  </r>
  <r>
    <x v="1"/>
    <x v="1"/>
    <d v="2021-12-08T00:00:00"/>
    <n v="2"/>
  </r>
  <r>
    <x v="2"/>
    <x v="1"/>
    <d v="2021-12-08T00:00:00"/>
    <n v="2"/>
  </r>
  <r>
    <x v="3"/>
    <x v="1"/>
    <d v="2021-12-08T00:00:00"/>
    <n v="2"/>
  </r>
  <r>
    <x v="4"/>
    <x v="1"/>
    <d v="2021-12-08T00:00:00"/>
    <n v="2"/>
  </r>
  <r>
    <x v="5"/>
    <x v="1"/>
    <d v="2021-12-08T00:00:00"/>
    <n v="2"/>
  </r>
  <r>
    <x v="0"/>
    <x v="2"/>
    <d v="2021-12-09T00:00:00"/>
    <n v="1"/>
  </r>
  <r>
    <x v="2"/>
    <x v="2"/>
    <d v="2021-12-09T00:00:00"/>
    <n v="2"/>
  </r>
  <r>
    <x v="3"/>
    <x v="2"/>
    <d v="2021-12-09T00:00:00"/>
    <n v="2"/>
  </r>
  <r>
    <x v="4"/>
    <x v="2"/>
    <d v="2021-12-09T00:00:00"/>
    <n v="2"/>
  </r>
  <r>
    <x v="3"/>
    <x v="3"/>
    <d v="2021-12-14T00:00:00"/>
    <n v="1"/>
  </r>
  <r>
    <x v="6"/>
    <x v="1"/>
    <d v="2021-12-22T00:00:00"/>
    <n v="1"/>
  </r>
  <r>
    <x v="1"/>
    <x v="1"/>
    <d v="2021-12-22T00:00:00"/>
    <n v="2"/>
  </r>
  <r>
    <x v="7"/>
    <x v="1"/>
    <d v="2021-12-22T00:00:00"/>
    <n v="1"/>
  </r>
  <r>
    <x v="0"/>
    <x v="3"/>
    <d v="2022-01-04T00:00:00"/>
    <n v="3"/>
  </r>
  <r>
    <x v="1"/>
    <x v="3"/>
    <d v="2022-01-04T00:00:00"/>
    <n v="1"/>
  </r>
  <r>
    <x v="2"/>
    <x v="3"/>
    <d v="2022-01-04T00:00:00"/>
    <n v="3"/>
  </r>
  <r>
    <x v="3"/>
    <x v="3"/>
    <d v="2022-01-04T00:00:00"/>
    <n v="3"/>
  </r>
  <r>
    <x v="4"/>
    <x v="3"/>
    <d v="2022-01-04T00:00:00"/>
    <n v="3"/>
  </r>
  <r>
    <x v="7"/>
    <x v="3"/>
    <d v="2022-01-04T00:00:00"/>
    <n v="1"/>
  </r>
  <r>
    <x v="5"/>
    <x v="3"/>
    <d v="2022-01-04T00:00:00"/>
    <n v="3"/>
  </r>
  <r>
    <x v="6"/>
    <x v="4"/>
    <d v="2022-01-10T00:00:00"/>
    <n v="1"/>
  </r>
  <r>
    <x v="2"/>
    <x v="4"/>
    <d v="2022-01-10T00:00:00"/>
    <n v="1"/>
  </r>
  <r>
    <x v="3"/>
    <x v="4"/>
    <d v="2022-01-10T00:00:00"/>
    <n v="1"/>
  </r>
  <r>
    <x v="4"/>
    <x v="4"/>
    <d v="2022-01-10T00:00:00"/>
    <n v="1"/>
  </r>
  <r>
    <x v="8"/>
    <x v="4"/>
    <d v="2022-01-10T00:00:00"/>
    <n v="1"/>
  </r>
  <r>
    <x v="9"/>
    <x v="4"/>
    <d v="2022-01-10T00:00:00"/>
    <n v="1"/>
  </r>
  <r>
    <x v="3"/>
    <x v="1"/>
    <d v="2022-01-12T00:00:00"/>
    <n v="1"/>
  </r>
  <r>
    <x v="4"/>
    <x v="1"/>
    <d v="2022-01-12T00:00:00"/>
    <n v="1"/>
  </r>
  <r>
    <x v="8"/>
    <x v="1"/>
    <d v="2022-01-12T00:00:00"/>
    <n v="1"/>
  </r>
  <r>
    <x v="6"/>
    <x v="2"/>
    <d v="2022-01-13T00:00:00"/>
    <n v="5"/>
  </r>
  <r>
    <x v="0"/>
    <x v="2"/>
    <d v="2022-01-13T00:00:00"/>
    <n v="4"/>
  </r>
  <r>
    <x v="1"/>
    <x v="2"/>
    <d v="2022-01-13T00:00:00"/>
    <n v="3"/>
  </r>
  <r>
    <x v="3"/>
    <x v="2"/>
    <d v="2022-01-13T00:00:00"/>
    <n v="2"/>
  </r>
  <r>
    <x v="4"/>
    <x v="2"/>
    <d v="2022-01-13T00:00:00"/>
    <n v="1"/>
  </r>
  <r>
    <x v="7"/>
    <x v="2"/>
    <d v="2022-01-13T00:00:00"/>
    <n v="4"/>
  </r>
  <r>
    <x v="5"/>
    <x v="2"/>
    <d v="2022-01-13T00:00:00"/>
    <n v="1"/>
  </r>
  <r>
    <x v="9"/>
    <x v="2"/>
    <d v="2022-01-13T00:00:00"/>
    <n v="4"/>
  </r>
  <r>
    <x v="6"/>
    <x v="4"/>
    <d v="2022-01-17T00:00:00"/>
    <n v="8"/>
  </r>
  <r>
    <x v="0"/>
    <x v="4"/>
    <d v="2022-01-17T00:00:00"/>
    <n v="5"/>
  </r>
  <r>
    <x v="1"/>
    <x v="4"/>
    <d v="2022-01-17T00:00:00"/>
    <n v="4"/>
  </r>
  <r>
    <x v="2"/>
    <x v="4"/>
    <d v="2022-01-17T00:00:00"/>
    <n v="3"/>
  </r>
  <r>
    <x v="3"/>
    <x v="4"/>
    <d v="2022-01-17T00:00:00"/>
    <n v="7"/>
  </r>
  <r>
    <x v="4"/>
    <x v="4"/>
    <d v="2022-01-17T00:00:00"/>
    <n v="6"/>
  </r>
  <r>
    <x v="7"/>
    <x v="4"/>
    <d v="2022-01-17T00:00:00"/>
    <n v="8"/>
  </r>
  <r>
    <x v="5"/>
    <x v="4"/>
    <d v="2022-01-17T00:00:00"/>
    <n v="3"/>
  </r>
  <r>
    <x v="9"/>
    <x v="4"/>
    <d v="2022-01-17T00:00:00"/>
    <n v="6"/>
  </r>
  <r>
    <x v="6"/>
    <x v="2"/>
    <d v="2022-01-20T00:00:00"/>
    <n v="2"/>
  </r>
  <r>
    <x v="0"/>
    <x v="2"/>
    <d v="2022-01-20T00:00:00"/>
    <n v="8"/>
  </r>
  <r>
    <x v="1"/>
    <x v="2"/>
    <d v="2022-01-20T00:00:00"/>
    <n v="8"/>
  </r>
  <r>
    <x v="3"/>
    <x v="2"/>
    <d v="2022-01-20T00:00:00"/>
    <n v="3"/>
  </r>
  <r>
    <x v="4"/>
    <x v="2"/>
    <d v="2022-01-20T00:00:00"/>
    <n v="3"/>
  </r>
  <r>
    <x v="7"/>
    <x v="2"/>
    <d v="2022-01-20T00:00:00"/>
    <n v="3"/>
  </r>
  <r>
    <x v="5"/>
    <x v="2"/>
    <d v="2022-01-20T00:00:00"/>
    <n v="7"/>
  </r>
  <r>
    <x v="9"/>
    <x v="2"/>
    <d v="2022-01-20T00:00:00"/>
    <n v="2"/>
  </r>
  <r>
    <x v="1"/>
    <x v="3"/>
    <d v="2022-01-25T00:00:00"/>
    <n v="1"/>
  </r>
  <r>
    <x v="2"/>
    <x v="3"/>
    <d v="2022-01-25T00:00:00"/>
    <n v="3"/>
  </r>
  <r>
    <x v="3"/>
    <x v="3"/>
    <d v="2022-01-25T00:00:00"/>
    <n v="5"/>
  </r>
  <r>
    <x v="4"/>
    <x v="3"/>
    <d v="2022-01-25T00:00:00"/>
    <n v="4"/>
  </r>
  <r>
    <x v="0"/>
    <x v="2"/>
    <d v="2022-01-27T00:00:00"/>
    <n v="2"/>
  </r>
  <r>
    <x v="5"/>
    <x v="2"/>
    <d v="2022-01-27T00:00:00"/>
    <n v="2"/>
  </r>
  <r>
    <x v="1"/>
    <x v="3"/>
    <d v="2022-02-01T00:00:00"/>
    <n v="2"/>
  </r>
  <r>
    <x v="6"/>
    <x v="1"/>
    <d v="2022-02-02T00:00:00"/>
    <n v="1"/>
  </r>
  <r>
    <x v="7"/>
    <x v="1"/>
    <d v="2022-02-02T00:00:00"/>
    <n v="1"/>
  </r>
  <r>
    <x v="6"/>
    <x v="2"/>
    <d v="2022-02-03T00:00:00"/>
    <n v="2"/>
  </r>
  <r>
    <x v="0"/>
    <x v="2"/>
    <d v="2022-02-03T00:00:00"/>
    <n v="2"/>
  </r>
  <r>
    <x v="1"/>
    <x v="2"/>
    <d v="2022-02-03T00:00:00"/>
    <n v="1"/>
  </r>
  <r>
    <x v="3"/>
    <x v="2"/>
    <d v="2022-02-03T00:00:00"/>
    <n v="2"/>
  </r>
  <r>
    <x v="7"/>
    <x v="2"/>
    <d v="2022-02-03T00:00:00"/>
    <n v="2"/>
  </r>
  <r>
    <x v="5"/>
    <x v="2"/>
    <d v="2022-02-03T00:00:00"/>
    <n v="2"/>
  </r>
  <r>
    <x v="9"/>
    <x v="2"/>
    <d v="2022-02-03T00:00:00"/>
    <n v="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x v="0"/>
    <x v="0"/>
    <m/>
    <m/>
  </r>
  <r>
    <x v="1"/>
    <x v="1"/>
    <d v="2021-12-03T00:00:00"/>
    <n v="16"/>
  </r>
  <r>
    <x v="0"/>
    <x v="1"/>
    <d v="2021-12-03T00:00:00"/>
    <n v="31"/>
  </r>
  <r>
    <x v="2"/>
    <x v="1"/>
    <d v="2021-12-03T00:00:00"/>
    <n v="71"/>
  </r>
  <r>
    <x v="3"/>
    <x v="1"/>
    <d v="2021-12-03T00:00:00"/>
    <n v="37"/>
  </r>
  <r>
    <x v="4"/>
    <x v="1"/>
    <d v="2021-12-03T00:00:00"/>
    <n v="100"/>
  </r>
  <r>
    <x v="5"/>
    <x v="1"/>
    <d v="2021-12-03T00:00:00"/>
    <n v="65"/>
  </r>
  <r>
    <x v="6"/>
    <x v="1"/>
    <d v="2021-12-03T00:00:00"/>
    <n v="25"/>
  </r>
  <r>
    <x v="7"/>
    <x v="1"/>
    <d v="2021-12-03T00:00:00"/>
    <n v="44"/>
  </r>
  <r>
    <x v="1"/>
    <x v="2"/>
    <d v="2021-12-07T00:00:00"/>
    <n v="19"/>
  </r>
  <r>
    <x v="0"/>
    <x v="2"/>
    <d v="2021-12-07T00:00:00"/>
    <n v="27"/>
  </r>
  <r>
    <x v="2"/>
    <x v="2"/>
    <d v="2021-12-07T00:00:00"/>
    <n v="16"/>
  </r>
  <r>
    <x v="3"/>
    <x v="2"/>
    <d v="2021-12-07T00:00:00"/>
    <n v="38"/>
  </r>
  <r>
    <x v="4"/>
    <x v="2"/>
    <d v="2021-12-07T00:00:00"/>
    <n v="51"/>
  </r>
  <r>
    <x v="5"/>
    <x v="2"/>
    <d v="2021-12-07T00:00:00"/>
    <n v="51"/>
  </r>
  <r>
    <x v="8"/>
    <x v="2"/>
    <d v="2021-12-07T00:00:00"/>
    <n v="51"/>
  </r>
  <r>
    <x v="6"/>
    <x v="2"/>
    <d v="2021-12-07T00:00:00"/>
    <n v="14"/>
  </r>
  <r>
    <x v="7"/>
    <x v="2"/>
    <d v="2021-12-07T00:00:00"/>
    <n v="20"/>
  </r>
  <r>
    <x v="9"/>
    <x v="2"/>
    <d v="2021-12-07T00:00:00"/>
    <n v="14"/>
  </r>
  <r>
    <x v="1"/>
    <x v="3"/>
    <d v="2021-12-09T00:00:00"/>
    <n v="8"/>
  </r>
  <r>
    <x v="3"/>
    <x v="3"/>
    <d v="2021-12-09T00:00:00"/>
    <n v="6"/>
  </r>
  <r>
    <x v="4"/>
    <x v="3"/>
    <d v="2021-12-09T00:00:00"/>
    <n v="6"/>
  </r>
  <r>
    <x v="5"/>
    <x v="3"/>
    <d v="2021-12-09T00:00:00"/>
    <n v="6"/>
  </r>
  <r>
    <x v="6"/>
    <x v="3"/>
    <d v="2021-12-09T00:00:00"/>
    <n v="7"/>
  </r>
  <r>
    <x v="9"/>
    <x v="3"/>
    <d v="2021-12-09T00:00:00"/>
    <n v="4"/>
  </r>
  <r>
    <x v="1"/>
    <x v="1"/>
    <d v="2021-12-10T00:00:00"/>
    <n v="13"/>
  </r>
  <r>
    <x v="0"/>
    <x v="1"/>
    <d v="2021-12-10T00:00:00"/>
    <n v="10"/>
  </r>
  <r>
    <x v="2"/>
    <x v="1"/>
    <d v="2021-12-10T00:00:00"/>
    <n v="14"/>
  </r>
  <r>
    <x v="3"/>
    <x v="1"/>
    <d v="2021-12-10T00:00:00"/>
    <n v="1"/>
  </r>
  <r>
    <x v="4"/>
    <x v="1"/>
    <d v="2021-12-10T00:00:00"/>
    <n v="5"/>
  </r>
  <r>
    <x v="5"/>
    <x v="1"/>
    <d v="2021-12-10T00:00:00"/>
    <n v="5"/>
  </r>
  <r>
    <x v="8"/>
    <x v="1"/>
    <d v="2021-12-10T00:00:00"/>
    <n v="7"/>
  </r>
  <r>
    <x v="6"/>
    <x v="1"/>
    <d v="2021-12-10T00:00:00"/>
    <n v="10"/>
  </r>
  <r>
    <x v="7"/>
    <x v="1"/>
    <d v="2021-12-10T00:00:00"/>
    <n v="6"/>
  </r>
  <r>
    <x v="9"/>
    <x v="1"/>
    <d v="2021-12-10T00:00:00"/>
    <n v="9"/>
  </r>
  <r>
    <x v="1"/>
    <x v="4"/>
    <d v="2021-12-11T00:00:00"/>
    <n v="5"/>
  </r>
  <r>
    <x v="0"/>
    <x v="4"/>
    <d v="2021-12-11T00:00:00"/>
    <n v="13"/>
  </r>
  <r>
    <x v="2"/>
    <x v="4"/>
    <d v="2021-12-11T00:00:00"/>
    <n v="11"/>
  </r>
  <r>
    <x v="6"/>
    <x v="4"/>
    <d v="2021-12-11T00:00:00"/>
    <n v="7"/>
  </r>
  <r>
    <x v="9"/>
    <x v="4"/>
    <d v="2021-12-11T00:00:00"/>
    <n v="6"/>
  </r>
  <r>
    <x v="1"/>
    <x v="2"/>
    <d v="2021-12-14T00:00:00"/>
    <n v="20"/>
  </r>
  <r>
    <x v="0"/>
    <x v="2"/>
    <d v="2021-12-14T00:00:00"/>
    <n v="27"/>
  </r>
  <r>
    <x v="3"/>
    <x v="2"/>
    <d v="2021-12-14T00:00:00"/>
    <n v="74"/>
  </r>
  <r>
    <x v="4"/>
    <x v="2"/>
    <d v="2021-12-14T00:00:00"/>
    <n v="74"/>
  </r>
  <r>
    <x v="5"/>
    <x v="2"/>
    <d v="2021-12-14T00:00:00"/>
    <n v="74"/>
  </r>
  <r>
    <x v="8"/>
    <x v="2"/>
    <d v="2021-12-14T00:00:00"/>
    <n v="74"/>
  </r>
  <r>
    <x v="6"/>
    <x v="2"/>
    <d v="2021-12-14T00:00:00"/>
    <n v="6"/>
  </r>
  <r>
    <x v="7"/>
    <x v="2"/>
    <d v="2021-12-14T00:00:00"/>
    <n v="30"/>
  </r>
  <r>
    <x v="9"/>
    <x v="2"/>
    <d v="2021-12-14T00:00:00"/>
    <n v="12"/>
  </r>
  <r>
    <x v="1"/>
    <x v="5"/>
    <d v="2021-12-15T00:00:00"/>
    <n v="1"/>
  </r>
  <r>
    <x v="0"/>
    <x v="5"/>
    <d v="2021-12-15T00:00:00"/>
    <n v="1"/>
  </r>
  <r>
    <x v="2"/>
    <x v="5"/>
    <d v="2021-12-15T00:00:00"/>
    <n v="2"/>
  </r>
  <r>
    <x v="6"/>
    <x v="5"/>
    <d v="2021-12-15T00:00:00"/>
    <n v="1"/>
  </r>
  <r>
    <x v="9"/>
    <x v="5"/>
    <d v="2021-12-15T00:00:00"/>
    <n v="1"/>
  </r>
  <r>
    <x v="1"/>
    <x v="1"/>
    <d v="2021-12-17T00:00:00"/>
    <n v="69"/>
  </r>
  <r>
    <x v="0"/>
    <x v="1"/>
    <d v="2021-12-17T00:00:00"/>
    <n v="143"/>
  </r>
  <r>
    <x v="2"/>
    <x v="1"/>
    <d v="2021-12-17T00:00:00"/>
    <n v="114"/>
  </r>
  <r>
    <x v="3"/>
    <x v="1"/>
    <d v="2021-12-17T00:00:00"/>
    <n v="36"/>
  </r>
  <r>
    <x v="4"/>
    <x v="1"/>
    <d v="2021-12-17T00:00:00"/>
    <n v="129"/>
  </r>
  <r>
    <x v="5"/>
    <x v="1"/>
    <d v="2021-12-17T00:00:00"/>
    <n v="79"/>
  </r>
  <r>
    <x v="6"/>
    <x v="1"/>
    <d v="2021-12-17T00:00:00"/>
    <n v="91"/>
  </r>
  <r>
    <x v="7"/>
    <x v="1"/>
    <d v="2021-12-17T00:00:00"/>
    <n v="92"/>
  </r>
  <r>
    <x v="9"/>
    <x v="1"/>
    <d v="2021-12-17T00:00:00"/>
    <n v="33"/>
  </r>
  <r>
    <x v="1"/>
    <x v="2"/>
    <d v="2021-12-21T00:00:00"/>
    <n v="54"/>
  </r>
  <r>
    <x v="0"/>
    <x v="2"/>
    <d v="2021-12-21T00:00:00"/>
    <n v="118"/>
  </r>
  <r>
    <x v="2"/>
    <x v="2"/>
    <d v="2021-12-21T00:00:00"/>
    <n v="56"/>
  </r>
  <r>
    <x v="3"/>
    <x v="2"/>
    <d v="2021-12-21T00:00:00"/>
    <n v="82"/>
  </r>
  <r>
    <x v="4"/>
    <x v="2"/>
    <d v="2021-12-21T00:00:00"/>
    <n v="160"/>
  </r>
  <r>
    <x v="5"/>
    <x v="2"/>
    <d v="2021-12-21T00:00:00"/>
    <n v="116"/>
  </r>
  <r>
    <x v="8"/>
    <x v="2"/>
    <d v="2021-12-21T00:00:00"/>
    <n v="167"/>
  </r>
  <r>
    <x v="6"/>
    <x v="2"/>
    <d v="2021-12-21T00:00:00"/>
    <n v="56"/>
  </r>
  <r>
    <x v="7"/>
    <x v="2"/>
    <d v="2021-12-21T00:00:00"/>
    <n v="78"/>
  </r>
  <r>
    <x v="9"/>
    <x v="2"/>
    <d v="2021-12-21T00:00:00"/>
    <n v="33"/>
  </r>
  <r>
    <x v="0"/>
    <x v="5"/>
    <d v="2021-12-22T00:00:00"/>
    <n v="16"/>
  </r>
  <r>
    <x v="3"/>
    <x v="5"/>
    <d v="2021-12-22T00:00:00"/>
    <n v="14"/>
  </r>
  <r>
    <x v="4"/>
    <x v="5"/>
    <d v="2021-12-22T00:00:00"/>
    <n v="32"/>
  </r>
  <r>
    <x v="5"/>
    <x v="5"/>
    <d v="2021-12-22T00:00:00"/>
    <n v="17"/>
  </r>
  <r>
    <x v="8"/>
    <x v="5"/>
    <d v="2021-12-22T00:00:00"/>
    <n v="29"/>
  </r>
  <r>
    <x v="10"/>
    <x v="2"/>
    <d v="2022-01-04T00:00:00"/>
    <n v="14"/>
  </r>
  <r>
    <x v="3"/>
    <x v="5"/>
    <d v="2022-01-05T00:00:00"/>
    <n v="2"/>
  </r>
  <r>
    <x v="4"/>
    <x v="5"/>
    <d v="2022-01-05T00:00:00"/>
    <n v="2"/>
  </r>
  <r>
    <x v="5"/>
    <x v="5"/>
    <d v="2022-01-05T00:00:00"/>
    <n v="2"/>
  </r>
  <r>
    <x v="8"/>
    <x v="5"/>
    <d v="2022-01-05T00:00:00"/>
    <n v="2"/>
  </r>
  <r>
    <x v="8"/>
    <x v="1"/>
    <d v="2022-01-07T00:00:00"/>
    <n v="4"/>
  </r>
  <r>
    <x v="1"/>
    <x v="2"/>
    <d v="2022-01-11T00:00:00"/>
    <n v="7"/>
  </r>
  <r>
    <x v="0"/>
    <x v="2"/>
    <d v="2022-01-11T00:00:00"/>
    <n v="16"/>
  </r>
  <r>
    <x v="3"/>
    <x v="2"/>
    <d v="2022-01-11T00:00:00"/>
    <n v="16"/>
  </r>
  <r>
    <x v="4"/>
    <x v="2"/>
    <d v="2022-01-11T00:00:00"/>
    <n v="25"/>
  </r>
  <r>
    <x v="5"/>
    <x v="2"/>
    <d v="2022-01-11T00:00:00"/>
    <n v="13"/>
  </r>
  <r>
    <x v="8"/>
    <x v="2"/>
    <d v="2022-01-11T00:00:00"/>
    <n v="25"/>
  </r>
  <r>
    <x v="6"/>
    <x v="2"/>
    <d v="2022-01-11T00:00:00"/>
    <n v="6"/>
  </r>
  <r>
    <x v="7"/>
    <x v="2"/>
    <d v="2022-01-11T00:00:00"/>
    <n v="16"/>
  </r>
  <r>
    <x v="9"/>
    <x v="2"/>
    <d v="2022-01-11T00:00:00"/>
    <n v="7"/>
  </r>
  <r>
    <x v="1"/>
    <x v="5"/>
    <d v="2022-01-12T00:00:00"/>
    <n v="35"/>
  </r>
  <r>
    <x v="0"/>
    <x v="5"/>
    <d v="2022-01-12T00:00:00"/>
    <n v="69"/>
  </r>
  <r>
    <x v="2"/>
    <x v="5"/>
    <d v="2022-01-12T00:00:00"/>
    <n v="56"/>
  </r>
  <r>
    <x v="3"/>
    <x v="5"/>
    <d v="2022-01-12T00:00:00"/>
    <n v="15"/>
  </r>
  <r>
    <x v="4"/>
    <x v="5"/>
    <d v="2022-01-12T00:00:00"/>
    <n v="34"/>
  </r>
  <r>
    <x v="5"/>
    <x v="5"/>
    <d v="2022-01-12T00:00:00"/>
    <n v="26"/>
  </r>
  <r>
    <x v="6"/>
    <x v="5"/>
    <d v="2022-01-12T00:00:00"/>
    <n v="44"/>
  </r>
  <r>
    <x v="7"/>
    <x v="5"/>
    <d v="2022-01-12T00:00:00"/>
    <n v="42"/>
  </r>
  <r>
    <x v="9"/>
    <x v="5"/>
    <d v="2022-01-12T00:00:00"/>
    <n v="13"/>
  </r>
  <r>
    <x v="0"/>
    <x v="1"/>
    <d v="2022-01-14T00:00:00"/>
    <n v="1"/>
  </r>
  <r>
    <x v="2"/>
    <x v="1"/>
    <d v="2022-01-14T00:00:00"/>
    <n v="2"/>
  </r>
  <r>
    <x v="7"/>
    <x v="1"/>
    <d v="2022-01-14T00:00:00"/>
    <n v="4"/>
  </r>
  <r>
    <x v="1"/>
    <x v="2"/>
    <d v="2022-01-18T00:00:00"/>
    <n v="5"/>
  </r>
  <r>
    <x v="0"/>
    <x v="2"/>
    <d v="2022-01-18T00:00:00"/>
    <n v="2"/>
  </r>
  <r>
    <x v="2"/>
    <x v="2"/>
    <d v="2022-01-18T00:00:00"/>
    <n v="5"/>
  </r>
  <r>
    <x v="3"/>
    <x v="2"/>
    <d v="2022-01-18T00:00:00"/>
    <n v="18"/>
  </r>
  <r>
    <x v="4"/>
    <x v="2"/>
    <d v="2022-01-18T00:00:00"/>
    <n v="18"/>
  </r>
  <r>
    <x v="5"/>
    <x v="2"/>
    <d v="2022-01-18T00:00:00"/>
    <n v="18"/>
  </r>
  <r>
    <x v="6"/>
    <x v="2"/>
    <d v="2022-01-18T00:00:00"/>
    <n v="4"/>
  </r>
  <r>
    <x v="7"/>
    <x v="2"/>
    <d v="2022-01-18T00:00:00"/>
    <n v="5"/>
  </r>
  <r>
    <x v="9"/>
    <x v="2"/>
    <d v="2022-01-18T00:00:00"/>
    <n v="6"/>
  </r>
  <r>
    <x v="1"/>
    <x v="5"/>
    <d v="2022-01-19T00:00:00"/>
    <n v="4"/>
  </r>
  <r>
    <x v="0"/>
    <x v="5"/>
    <d v="2022-01-19T00:00:00"/>
    <n v="15"/>
  </r>
  <r>
    <x v="2"/>
    <x v="5"/>
    <d v="2022-01-19T00:00:00"/>
    <n v="13"/>
  </r>
  <r>
    <x v="3"/>
    <x v="5"/>
    <d v="2022-01-19T00:00:00"/>
    <n v="3"/>
  </r>
  <r>
    <x v="4"/>
    <x v="5"/>
    <d v="2022-01-19T00:00:00"/>
    <n v="2"/>
  </r>
  <r>
    <x v="5"/>
    <x v="5"/>
    <d v="2022-01-19T00:00:00"/>
    <n v="2"/>
  </r>
  <r>
    <x v="6"/>
    <x v="5"/>
    <d v="2022-01-19T00:00:00"/>
    <n v="2"/>
  </r>
  <r>
    <x v="1"/>
    <x v="1"/>
    <d v="2022-01-21T00:00:00"/>
    <n v="32"/>
  </r>
  <r>
    <x v="0"/>
    <x v="1"/>
    <d v="2022-01-21T00:00:00"/>
    <n v="70"/>
  </r>
  <r>
    <x v="2"/>
    <x v="1"/>
    <d v="2022-01-21T00:00:00"/>
    <n v="68"/>
  </r>
  <r>
    <x v="3"/>
    <x v="1"/>
    <d v="2022-01-21T00:00:00"/>
    <n v="31"/>
  </r>
  <r>
    <x v="4"/>
    <x v="1"/>
    <d v="2022-01-21T00:00:00"/>
    <n v="77"/>
  </r>
  <r>
    <x v="5"/>
    <x v="1"/>
    <d v="2022-01-21T00:00:00"/>
    <n v="47"/>
  </r>
  <r>
    <x v="6"/>
    <x v="1"/>
    <d v="2022-01-21T00:00:00"/>
    <n v="31"/>
  </r>
  <r>
    <x v="7"/>
    <x v="1"/>
    <d v="2022-01-21T00:00:00"/>
    <n v="44"/>
  </r>
  <r>
    <x v="9"/>
    <x v="1"/>
    <d v="2022-01-21T00:00:00"/>
    <n v="9"/>
  </r>
  <r>
    <x v="1"/>
    <x v="5"/>
    <d v="2022-01-26T00:00:00"/>
    <n v="6"/>
  </r>
  <r>
    <x v="0"/>
    <x v="5"/>
    <d v="2022-01-26T00:00:00"/>
    <n v="7"/>
  </r>
  <r>
    <x v="2"/>
    <x v="5"/>
    <d v="2022-01-26T00:00:00"/>
    <n v="2"/>
  </r>
  <r>
    <x v="3"/>
    <x v="5"/>
    <d v="2022-01-26T00:00:00"/>
    <n v="5"/>
  </r>
  <r>
    <x v="4"/>
    <x v="5"/>
    <d v="2022-01-26T00:00:00"/>
    <n v="5"/>
  </r>
  <r>
    <x v="5"/>
    <x v="5"/>
    <d v="2022-01-26T00:00:00"/>
    <n v="5"/>
  </r>
  <r>
    <x v="6"/>
    <x v="5"/>
    <d v="2022-01-26T00:00:00"/>
    <n v="4"/>
  </r>
  <r>
    <x v="9"/>
    <x v="5"/>
    <d v="2022-01-26T00:00:00"/>
    <n v="3"/>
  </r>
  <r>
    <x v="1"/>
    <x v="3"/>
    <d v="2022-01-27T00:00:00"/>
    <n v="24"/>
  </r>
  <r>
    <x v="0"/>
    <x v="3"/>
    <d v="2022-01-27T00:00:00"/>
    <n v="23"/>
  </r>
  <r>
    <x v="2"/>
    <x v="3"/>
    <d v="2022-01-27T00:00:00"/>
    <n v="69"/>
  </r>
  <r>
    <x v="3"/>
    <x v="3"/>
    <d v="2022-01-27T00:00:00"/>
    <n v="13"/>
  </r>
  <r>
    <x v="4"/>
    <x v="3"/>
    <d v="2022-01-27T00:00:00"/>
    <n v="26"/>
  </r>
  <r>
    <x v="5"/>
    <x v="3"/>
    <d v="2022-01-27T00:00:00"/>
    <n v="17"/>
  </r>
  <r>
    <x v="6"/>
    <x v="3"/>
    <d v="2022-01-27T00:00:00"/>
    <n v="45"/>
  </r>
  <r>
    <x v="7"/>
    <x v="3"/>
    <d v="2022-01-27T00:00:00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706A4-3800-470E-BDC8-ED06B8B6A405}" name="PivotTable3" cacheId="431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0:G32" firstHeaderRow="1" firstDataRow="2" firstDataCol="1"/>
  <pivotFields count="4">
    <pivotField axis="axisRow" showAll="0">
      <items count="11">
        <item x="6"/>
        <item x="0"/>
        <item x="1"/>
        <item x="2"/>
        <item x="3"/>
        <item x="4"/>
        <item x="8"/>
        <item x="7"/>
        <item x="5"/>
        <item x="9"/>
        <item t="default"/>
      </items>
    </pivotField>
    <pivotField axis="axisCol" showAll="0">
      <items count="6">
        <item x="4"/>
        <item x="3"/>
        <item x="1"/>
        <item x="2"/>
        <item x="0"/>
        <item t="default"/>
      </items>
    </pivotField>
    <pivotField numFmtId="14" showAll="0"/>
    <pivotField dataField="1" numFmtId="3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um of Sales Orders Cancellations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048554-4A99-4FDD-8D03-2BAC08541966}" name="PivotTable2" cacheId="43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16" firstHeaderRow="1" firstDataRow="2" firstDataCol="1"/>
  <pivotFields count="4">
    <pivotField axis="axisRow" showAll="0">
      <items count="12">
        <item x="1"/>
        <item x="0"/>
        <item x="2"/>
        <item x="3"/>
        <item x="4"/>
        <item x="5"/>
        <item x="10"/>
        <item x="8"/>
        <item x="6"/>
        <item x="7"/>
        <item x="9"/>
        <item t="default"/>
      </items>
    </pivotField>
    <pivotField axis="axisCol" showAll="0">
      <items count="7">
        <item x="0"/>
        <item x="2"/>
        <item x="5"/>
        <item x="3"/>
        <item x="1"/>
        <item x="4"/>
        <item t="default"/>
      </items>
    </pivotField>
    <pivotField numFmtId="14" showAll="0"/>
    <pivotField dataField="1" numFmtId="3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Num of Sales Orders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6" dT="2022-05-03T13:45:57.22" personId="{78C1BEBF-D4B4-49A8-A80C-3A9074A35337}" id="{1897DA22-0FCA-443A-BCE5-AEBABAC7D4F3}">
    <text>Based on 2023 projections</text>
  </threadedComment>
  <threadedComment ref="G17" dT="2022-05-03T13:45:57.22" personId="{78C1BEBF-D4B4-49A8-A80C-3A9074A35337}" id="{7C5B96D8-7B3C-49F3-B8C3-3CE68EFF065F}">
    <text>Based on 2023 projections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v.azure.com/asos/Retail/_workitems/edit/629351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411-9DE5-4D8E-9851-E295649B4D46}">
  <dimension ref="A1:G13"/>
  <sheetViews>
    <sheetView workbookViewId="0">
      <selection activeCell="C15" sqref="C15"/>
    </sheetView>
  </sheetViews>
  <sheetFormatPr defaultRowHeight="14.45"/>
  <cols>
    <col min="2" max="2" width="23" customWidth="1"/>
    <col min="3" max="3" width="54.42578125" customWidth="1"/>
    <col min="4" max="4" width="13.85546875" bestFit="1" customWidth="1"/>
    <col min="5" max="5" width="13.85546875" style="109" customWidth="1"/>
    <col min="7" max="7" width="61.5703125" customWidth="1"/>
  </cols>
  <sheetData>
    <row r="1" spans="1:7" ht="14.45" customHeight="1">
      <c r="A1" s="129" t="s">
        <v>0</v>
      </c>
      <c r="B1" s="129" t="s">
        <v>1</v>
      </c>
      <c r="C1" s="129" t="s">
        <v>2</v>
      </c>
      <c r="D1" s="129" t="s">
        <v>3</v>
      </c>
      <c r="E1" s="129" t="s">
        <v>4</v>
      </c>
      <c r="F1" s="10" t="s">
        <v>5</v>
      </c>
      <c r="G1" s="131" t="s">
        <v>6</v>
      </c>
    </row>
    <row r="2" spans="1:7">
      <c r="A2" s="130"/>
      <c r="B2" s="130"/>
      <c r="C2" s="130"/>
      <c r="D2" s="130"/>
      <c r="E2" s="133"/>
      <c r="F2" s="18" t="s">
        <v>7</v>
      </c>
      <c r="G2" s="132"/>
    </row>
    <row r="3" spans="1:7" ht="26.45">
      <c r="A3" s="19">
        <v>589235</v>
      </c>
      <c r="B3" s="20" t="s">
        <v>8</v>
      </c>
      <c r="C3" s="20" t="s">
        <v>9</v>
      </c>
      <c r="D3" s="21">
        <v>44546</v>
      </c>
      <c r="E3" s="105" t="s">
        <v>10</v>
      </c>
      <c r="F3" s="22" t="s">
        <v>11</v>
      </c>
      <c r="G3" s="23"/>
    </row>
    <row r="4" spans="1:7" ht="26.45">
      <c r="A4" s="24">
        <v>589234</v>
      </c>
      <c r="B4" s="12" t="s">
        <v>12</v>
      </c>
      <c r="C4" s="12" t="s">
        <v>13</v>
      </c>
      <c r="D4" s="13">
        <v>44546</v>
      </c>
      <c r="E4" s="106" t="s">
        <v>14</v>
      </c>
      <c r="F4" s="14" t="s">
        <v>11</v>
      </c>
      <c r="G4" s="25"/>
    </row>
    <row r="5" spans="1:7" ht="26.45">
      <c r="A5" s="24"/>
      <c r="B5" s="12" t="s">
        <v>15</v>
      </c>
      <c r="C5" s="12" t="s">
        <v>16</v>
      </c>
      <c r="D5" s="13">
        <v>44697</v>
      </c>
      <c r="E5" s="106" t="s">
        <v>14</v>
      </c>
      <c r="F5" s="14" t="s">
        <v>11</v>
      </c>
      <c r="G5" s="25"/>
    </row>
    <row r="6" spans="1:7" ht="26.45">
      <c r="A6" s="24"/>
      <c r="B6" s="12" t="s">
        <v>17</v>
      </c>
      <c r="C6" s="12" t="s">
        <v>18</v>
      </c>
      <c r="D6" s="13">
        <v>44697</v>
      </c>
      <c r="E6" s="106" t="s">
        <v>14</v>
      </c>
      <c r="F6" s="14" t="s">
        <v>11</v>
      </c>
      <c r="G6" s="25"/>
    </row>
    <row r="7" spans="1:7" ht="37.5" customHeight="1">
      <c r="A7" s="24"/>
      <c r="B7" s="12" t="s">
        <v>19</v>
      </c>
      <c r="C7" s="12" t="s">
        <v>20</v>
      </c>
      <c r="D7" s="13">
        <v>44609</v>
      </c>
      <c r="E7" s="106" t="s">
        <v>14</v>
      </c>
      <c r="F7" s="14" t="s">
        <v>11</v>
      </c>
      <c r="G7" s="25"/>
    </row>
    <row r="8" spans="1:7" ht="39.6">
      <c r="A8" s="24"/>
      <c r="B8" s="12" t="s">
        <v>21</v>
      </c>
      <c r="C8" s="12" t="s">
        <v>22</v>
      </c>
      <c r="D8" s="13">
        <v>44610</v>
      </c>
      <c r="E8" s="106" t="s">
        <v>23</v>
      </c>
      <c r="F8" s="14" t="s">
        <v>24</v>
      </c>
      <c r="G8" s="25" t="s">
        <v>25</v>
      </c>
    </row>
    <row r="9" spans="1:7" ht="26.45">
      <c r="A9" s="24"/>
      <c r="B9" s="12" t="s">
        <v>26</v>
      </c>
      <c r="C9" s="12" t="s">
        <v>27</v>
      </c>
      <c r="D9" s="13">
        <v>44623</v>
      </c>
      <c r="E9" s="106" t="s">
        <v>28</v>
      </c>
      <c r="F9" s="14" t="s">
        <v>24</v>
      </c>
      <c r="G9" s="25" t="s">
        <v>29</v>
      </c>
    </row>
    <row r="10" spans="1:7" ht="26.45">
      <c r="A10" s="24"/>
      <c r="B10" s="12" t="s">
        <v>30</v>
      </c>
      <c r="C10" s="12" t="s">
        <v>31</v>
      </c>
      <c r="D10" s="13">
        <v>44623</v>
      </c>
      <c r="E10" s="106" t="s">
        <v>28</v>
      </c>
      <c r="F10" s="14" t="s">
        <v>24</v>
      </c>
      <c r="G10" s="25" t="s">
        <v>29</v>
      </c>
    </row>
    <row r="11" spans="1:7" ht="26.45">
      <c r="A11" s="24"/>
      <c r="B11" s="12" t="s">
        <v>32</v>
      </c>
      <c r="C11" s="12" t="s">
        <v>33</v>
      </c>
      <c r="D11" s="13">
        <v>44623</v>
      </c>
      <c r="E11" s="106" t="s">
        <v>23</v>
      </c>
      <c r="F11" s="14" t="s">
        <v>24</v>
      </c>
      <c r="G11" s="25" t="s">
        <v>29</v>
      </c>
    </row>
    <row r="12" spans="1:7" s="11" customFormat="1">
      <c r="A12" s="26"/>
      <c r="B12" s="15"/>
      <c r="C12" s="15"/>
      <c r="D12" s="16"/>
      <c r="E12" s="107"/>
      <c r="F12" s="17"/>
      <c r="G12" s="27"/>
    </row>
    <row r="13" spans="1:7">
      <c r="A13" s="28"/>
      <c r="B13" s="29"/>
      <c r="C13" s="29"/>
      <c r="D13" s="30"/>
      <c r="E13" s="108"/>
      <c r="F13" s="31"/>
      <c r="G13" s="32"/>
    </row>
  </sheetData>
  <mergeCells count="6">
    <mergeCell ref="D1:D2"/>
    <mergeCell ref="G1:G2"/>
    <mergeCell ref="A1:A2"/>
    <mergeCell ref="B1:B2"/>
    <mergeCell ref="C1:C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6F76-F999-4E53-97A5-6D49286C1F04}">
  <dimension ref="A1:O16"/>
  <sheetViews>
    <sheetView workbookViewId="0">
      <selection activeCell="A16" sqref="A16"/>
    </sheetView>
  </sheetViews>
  <sheetFormatPr defaultColWidth="9.140625" defaultRowHeight="13.9"/>
  <cols>
    <col min="1" max="1" width="28.28515625" style="55" customWidth="1"/>
    <col min="2" max="2" width="14.28515625" style="55" customWidth="1"/>
    <col min="3" max="3" width="9.42578125" style="55" bestFit="1" customWidth="1"/>
    <col min="4" max="6" width="9.140625" style="55"/>
    <col min="7" max="7" width="11.7109375" style="55" customWidth="1"/>
    <col min="8" max="8" width="39.85546875" style="55" customWidth="1"/>
    <col min="9" max="9" width="24" style="55" bestFit="1" customWidth="1"/>
    <col min="10" max="10" width="24.42578125" style="55" customWidth="1"/>
    <col min="11" max="11" width="9.140625" style="55" customWidth="1"/>
    <col min="12" max="12" width="9.140625" style="55"/>
    <col min="13" max="13" width="19.140625" style="55" customWidth="1"/>
    <col min="14" max="14" width="29" style="55" customWidth="1"/>
    <col min="15" max="16384" width="9.140625" style="55"/>
  </cols>
  <sheetData>
    <row r="1" spans="1:15" s="64" customFormat="1" ht="15" customHeight="1">
      <c r="A1" s="137" t="s">
        <v>34</v>
      </c>
      <c r="B1" s="147" t="s">
        <v>35</v>
      </c>
      <c r="C1" s="137" t="s">
        <v>36</v>
      </c>
      <c r="D1" s="142"/>
      <c r="E1" s="142"/>
      <c r="F1" s="134"/>
      <c r="G1" s="144" t="s">
        <v>37</v>
      </c>
      <c r="H1" s="134" t="s">
        <v>38</v>
      </c>
      <c r="M1" s="56" t="s">
        <v>39</v>
      </c>
      <c r="N1" s="57" t="s">
        <v>40</v>
      </c>
      <c r="O1" s="58" t="s">
        <v>41</v>
      </c>
    </row>
    <row r="2" spans="1:15" s="64" customFormat="1" ht="15">
      <c r="A2" s="138"/>
      <c r="B2" s="148"/>
      <c r="C2" s="140" t="s">
        <v>42</v>
      </c>
      <c r="D2" s="141"/>
      <c r="E2" s="141" t="s">
        <v>43</v>
      </c>
      <c r="F2" s="143"/>
      <c r="G2" s="145"/>
      <c r="H2" s="135"/>
      <c r="I2" s="55"/>
      <c r="M2" s="59" t="s">
        <v>44</v>
      </c>
      <c r="N2" s="60"/>
      <c r="O2" s="61"/>
    </row>
    <row r="3" spans="1:15" s="64" customFormat="1" ht="15">
      <c r="A3" s="139"/>
      <c r="B3" s="149"/>
      <c r="C3" s="83" t="s">
        <v>45</v>
      </c>
      <c r="D3" s="77" t="s">
        <v>46</v>
      </c>
      <c r="E3" s="77" t="s">
        <v>45</v>
      </c>
      <c r="F3" s="84" t="s">
        <v>46</v>
      </c>
      <c r="G3" s="146"/>
      <c r="H3" s="136"/>
      <c r="I3" s="55"/>
      <c r="J3" s="65"/>
      <c r="M3" s="62"/>
      <c r="N3" s="63"/>
      <c r="O3" s="61"/>
    </row>
    <row r="4" spans="1:15">
      <c r="A4" s="78" t="s">
        <v>47</v>
      </c>
      <c r="B4" s="94"/>
      <c r="C4" s="88">
        <f>D4*G4</f>
        <v>44</v>
      </c>
      <c r="D4" s="79">
        <v>22</v>
      </c>
      <c r="E4" s="79">
        <f>C4*5</f>
        <v>220</v>
      </c>
      <c r="F4" s="89">
        <f>D4*5</f>
        <v>110</v>
      </c>
      <c r="G4" s="96">
        <v>2</v>
      </c>
      <c r="H4" s="80" t="s">
        <v>48</v>
      </c>
      <c r="J4" s="65"/>
    </row>
    <row r="5" spans="1:15">
      <c r="A5" s="70" t="s">
        <v>49</v>
      </c>
      <c r="B5" s="95"/>
      <c r="C5" s="90">
        <f>D5*G5</f>
        <v>44</v>
      </c>
      <c r="D5" s="67">
        <v>22</v>
      </c>
      <c r="E5" s="67">
        <f t="shared" ref="E5:E8" si="0">C5*5</f>
        <v>220</v>
      </c>
      <c r="F5" s="91">
        <f>D5*5</f>
        <v>110</v>
      </c>
      <c r="G5" s="97">
        <v>2</v>
      </c>
      <c r="H5" s="71" t="s">
        <v>48</v>
      </c>
      <c r="J5" s="65"/>
    </row>
    <row r="6" spans="1:15">
      <c r="A6" s="70" t="s">
        <v>50</v>
      </c>
      <c r="B6" s="95"/>
      <c r="C6" s="90">
        <f>D6*G6</f>
        <v>308</v>
      </c>
      <c r="D6" s="67">
        <v>154</v>
      </c>
      <c r="E6" s="67">
        <f t="shared" si="0"/>
        <v>1540</v>
      </c>
      <c r="F6" s="91">
        <f>D6*5</f>
        <v>770</v>
      </c>
      <c r="G6" s="97">
        <v>2</v>
      </c>
      <c r="H6" s="71" t="s">
        <v>51</v>
      </c>
      <c r="J6" s="65"/>
    </row>
    <row r="7" spans="1:15">
      <c r="A7" s="70" t="s">
        <v>52</v>
      </c>
      <c r="B7" s="95" t="s">
        <v>53</v>
      </c>
      <c r="C7" s="90">
        <f>D7*G7</f>
        <v>1540</v>
      </c>
      <c r="D7" s="67">
        <f>D6*5</f>
        <v>770</v>
      </c>
      <c r="E7" s="67">
        <f t="shared" si="0"/>
        <v>7700</v>
      </c>
      <c r="F7" s="91">
        <f>D7*5</f>
        <v>3850</v>
      </c>
      <c r="G7" s="97">
        <v>2</v>
      </c>
      <c r="H7" s="71" t="s">
        <v>54</v>
      </c>
      <c r="J7" s="65"/>
    </row>
    <row r="8" spans="1:15">
      <c r="A8" s="70" t="s">
        <v>55</v>
      </c>
      <c r="B8" s="95" t="s">
        <v>56</v>
      </c>
      <c r="C8" s="92">
        <v>2000</v>
      </c>
      <c r="D8" s="68">
        <v>875</v>
      </c>
      <c r="E8" s="67">
        <f t="shared" si="0"/>
        <v>10000</v>
      </c>
      <c r="F8" s="93">
        <f>D8*5</f>
        <v>4375</v>
      </c>
      <c r="G8" s="98" t="s">
        <v>57</v>
      </c>
      <c r="H8" s="72" t="s">
        <v>58</v>
      </c>
      <c r="J8" s="65"/>
    </row>
    <row r="9" spans="1:15">
      <c r="A9" s="70" t="s">
        <v>59</v>
      </c>
      <c r="B9" s="95" t="s">
        <v>56</v>
      </c>
      <c r="C9" s="92">
        <v>110</v>
      </c>
      <c r="D9" s="68">
        <v>55</v>
      </c>
      <c r="E9" s="67">
        <f t="shared" ref="E9" si="1">C9*5</f>
        <v>550</v>
      </c>
      <c r="F9" s="93">
        <f>D9*5</f>
        <v>275</v>
      </c>
      <c r="G9" s="98" t="s">
        <v>57</v>
      </c>
      <c r="H9" s="72" t="s">
        <v>60</v>
      </c>
      <c r="J9" s="65"/>
    </row>
    <row r="10" spans="1:15">
      <c r="A10" s="70" t="s">
        <v>61</v>
      </c>
      <c r="B10" s="95" t="s">
        <v>56</v>
      </c>
      <c r="C10" s="92"/>
      <c r="D10" s="68"/>
      <c r="E10" s="67"/>
      <c r="F10" s="93"/>
      <c r="G10" s="98"/>
      <c r="H10" s="72"/>
      <c r="J10" s="65"/>
    </row>
    <row r="11" spans="1:15">
      <c r="A11" s="114" t="s">
        <v>62</v>
      </c>
      <c r="B11" s="115" t="s">
        <v>63</v>
      </c>
      <c r="C11" s="116"/>
      <c r="D11" s="117"/>
      <c r="E11" s="117"/>
      <c r="F11" s="118"/>
      <c r="G11" s="119"/>
      <c r="H11" s="118" t="s">
        <v>64</v>
      </c>
      <c r="J11" s="64"/>
    </row>
    <row r="12" spans="1:15">
      <c r="A12" s="73"/>
      <c r="B12" s="81"/>
      <c r="C12" s="73"/>
      <c r="D12" s="69"/>
      <c r="E12" s="69"/>
      <c r="F12" s="72"/>
      <c r="G12" s="98"/>
      <c r="H12" s="72"/>
      <c r="J12" s="65"/>
    </row>
    <row r="13" spans="1:15">
      <c r="A13" s="73"/>
      <c r="B13" s="81"/>
      <c r="C13" s="73"/>
      <c r="D13" s="69"/>
      <c r="E13" s="69"/>
      <c r="F13" s="72"/>
      <c r="G13" s="98"/>
      <c r="H13" s="72"/>
      <c r="J13" s="65"/>
    </row>
    <row r="14" spans="1:15">
      <c r="A14" s="74"/>
      <c r="B14" s="82"/>
      <c r="C14" s="74"/>
      <c r="D14" s="75"/>
      <c r="E14" s="75"/>
      <c r="F14" s="76"/>
      <c r="G14" s="99"/>
      <c r="H14" s="76"/>
      <c r="J14" s="65"/>
    </row>
    <row r="15" spans="1:15">
      <c r="I15" s="64"/>
    </row>
    <row r="16" spans="1:15" ht="14.45">
      <c r="A16" t="s">
        <v>65</v>
      </c>
      <c r="B16"/>
    </row>
  </sheetData>
  <mergeCells count="7">
    <mergeCell ref="H1:H3"/>
    <mergeCell ref="A1:A3"/>
    <mergeCell ref="C2:D2"/>
    <mergeCell ref="C1:F1"/>
    <mergeCell ref="E2:F2"/>
    <mergeCell ref="G1:G3"/>
    <mergeCell ref="B1:B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FDDD-65FC-4708-B85C-4F3758E3FC6E}">
  <dimension ref="A1:H29"/>
  <sheetViews>
    <sheetView workbookViewId="0">
      <selection activeCell="C17" sqref="C13:C17"/>
    </sheetView>
  </sheetViews>
  <sheetFormatPr defaultColWidth="9.140625" defaultRowHeight="14.45"/>
  <cols>
    <col min="1" max="1" width="11.7109375" style="33" customWidth="1"/>
    <col min="2" max="2" width="9.140625" style="33"/>
    <col min="3" max="3" width="28.42578125" style="33" customWidth="1"/>
    <col min="4" max="4" width="43.85546875" style="33" customWidth="1"/>
    <col min="5" max="5" width="12.5703125" style="33" customWidth="1"/>
    <col min="6" max="6" width="25.7109375" style="33" customWidth="1"/>
    <col min="7" max="16384" width="9.140625" style="33"/>
  </cols>
  <sheetData>
    <row r="1" spans="1:8" s="34" customFormat="1" ht="15.6">
      <c r="A1" s="152" t="s">
        <v>66</v>
      </c>
      <c r="B1" s="152" t="s">
        <v>67</v>
      </c>
      <c r="C1" s="152" t="s">
        <v>68</v>
      </c>
      <c r="D1" s="152" t="s">
        <v>69</v>
      </c>
      <c r="E1" s="152" t="s">
        <v>70</v>
      </c>
      <c r="F1" s="153" t="s">
        <v>36</v>
      </c>
      <c r="G1" s="153"/>
      <c r="H1" s="153"/>
    </row>
    <row r="2" spans="1:8">
      <c r="A2" s="152"/>
      <c r="B2" s="152"/>
      <c r="C2" s="152"/>
      <c r="D2" s="152"/>
      <c r="E2" s="152"/>
      <c r="F2" s="121" t="s">
        <v>71</v>
      </c>
      <c r="G2" s="126" t="s">
        <v>45</v>
      </c>
      <c r="H2" s="126" t="s">
        <v>46</v>
      </c>
    </row>
    <row r="3" spans="1:8" ht="26.45">
      <c r="A3" s="122" t="s">
        <v>72</v>
      </c>
      <c r="B3" s="123" t="s">
        <v>73</v>
      </c>
      <c r="C3" s="123" t="s">
        <v>74</v>
      </c>
      <c r="D3" s="123" t="s">
        <v>75</v>
      </c>
      <c r="E3" s="123" t="s">
        <v>42</v>
      </c>
      <c r="F3" s="123"/>
      <c r="G3" s="127"/>
      <c r="H3" s="127"/>
    </row>
    <row r="4" spans="1:8">
      <c r="A4" s="124" t="s">
        <v>56</v>
      </c>
      <c r="B4" s="125"/>
      <c r="C4" s="125" t="s">
        <v>76</v>
      </c>
      <c r="D4" s="124" t="s">
        <v>77</v>
      </c>
      <c r="E4" s="125" t="s">
        <v>78</v>
      </c>
      <c r="F4" s="125" t="s">
        <v>79</v>
      </c>
      <c r="G4" s="127"/>
      <c r="H4" s="127"/>
    </row>
    <row r="5" spans="1:8" ht="14.45" customHeight="1">
      <c r="A5" s="124"/>
      <c r="B5" s="125"/>
      <c r="C5" s="125" t="s">
        <v>80</v>
      </c>
      <c r="D5" s="151" t="s">
        <v>81</v>
      </c>
      <c r="E5" s="125"/>
      <c r="F5" s="125"/>
      <c r="G5" s="127"/>
      <c r="H5" s="127"/>
    </row>
    <row r="6" spans="1:8">
      <c r="A6" s="124"/>
      <c r="B6" s="125"/>
      <c r="C6" s="125" t="s">
        <v>82</v>
      </c>
      <c r="D6" s="151"/>
      <c r="E6" s="125"/>
      <c r="F6" s="125"/>
      <c r="G6" s="127"/>
      <c r="H6" s="127"/>
    </row>
    <row r="7" spans="1:8">
      <c r="A7" s="124"/>
      <c r="B7" s="125"/>
      <c r="C7" s="125" t="s">
        <v>83</v>
      </c>
      <c r="D7" s="151"/>
      <c r="E7" s="125"/>
      <c r="F7" s="125"/>
      <c r="G7" s="127"/>
      <c r="H7" s="127"/>
    </row>
    <row r="8" spans="1:8">
      <c r="A8" s="124"/>
      <c r="B8" s="125"/>
      <c r="C8" s="125" t="s">
        <v>84</v>
      </c>
      <c r="D8" s="151"/>
      <c r="E8" s="125"/>
      <c r="F8" s="125"/>
      <c r="G8" s="127"/>
      <c r="H8" s="127"/>
    </row>
    <row r="9" spans="1:8">
      <c r="A9" s="124"/>
      <c r="B9" s="125"/>
      <c r="C9" s="125" t="s">
        <v>85</v>
      </c>
      <c r="D9" s="150" t="s">
        <v>86</v>
      </c>
      <c r="E9" s="125"/>
      <c r="F9" s="125"/>
      <c r="G9" s="127"/>
      <c r="H9" s="127"/>
    </row>
    <row r="10" spans="1:8">
      <c r="A10" s="124"/>
      <c r="B10" s="125"/>
      <c r="C10" s="125" t="s">
        <v>87</v>
      </c>
      <c r="D10" s="150"/>
      <c r="E10" s="125"/>
      <c r="F10" s="125"/>
      <c r="G10" s="127"/>
      <c r="H10" s="127"/>
    </row>
    <row r="11" spans="1:8">
      <c r="A11" s="124"/>
      <c r="B11" s="125"/>
      <c r="C11" s="125" t="s">
        <v>88</v>
      </c>
      <c r="D11" s="150"/>
      <c r="E11" s="125"/>
      <c r="F11" s="125"/>
      <c r="G11" s="127"/>
      <c r="H11" s="127"/>
    </row>
    <row r="12" spans="1:8">
      <c r="A12" s="124"/>
      <c r="B12" s="125"/>
      <c r="C12" s="125" t="s">
        <v>89</v>
      </c>
      <c r="D12" s="150"/>
      <c r="E12" s="125"/>
      <c r="F12" s="125"/>
      <c r="G12" s="127"/>
      <c r="H12" s="127"/>
    </row>
    <row r="13" spans="1:8">
      <c r="A13" s="124" t="s">
        <v>63</v>
      </c>
      <c r="B13" s="125"/>
      <c r="C13" s="125" t="s">
        <v>90</v>
      </c>
      <c r="D13" s="124" t="s">
        <v>91</v>
      </c>
      <c r="E13" s="125" t="s">
        <v>92</v>
      </c>
      <c r="F13" s="125" t="s">
        <v>79</v>
      </c>
      <c r="G13" s="127"/>
      <c r="H13" s="127"/>
    </row>
    <row r="14" spans="1:8">
      <c r="A14" s="124"/>
      <c r="B14" s="125"/>
      <c r="C14" s="125" t="s">
        <v>93</v>
      </c>
      <c r="D14" s="124" t="s">
        <v>94</v>
      </c>
      <c r="E14" s="125"/>
      <c r="F14" s="125"/>
      <c r="G14" s="127"/>
      <c r="H14" s="127"/>
    </row>
    <row r="15" spans="1:8">
      <c r="A15" s="124"/>
      <c r="B15" s="125"/>
      <c r="C15" s="125" t="s">
        <v>95</v>
      </c>
      <c r="D15" s="124"/>
      <c r="E15" s="125"/>
      <c r="F15" s="125"/>
      <c r="G15" s="127"/>
      <c r="H15" s="127"/>
    </row>
    <row r="16" spans="1:8">
      <c r="A16" s="124" t="s">
        <v>96</v>
      </c>
      <c r="B16" s="125"/>
      <c r="C16" s="125" t="s">
        <v>97</v>
      </c>
      <c r="D16" s="124" t="s">
        <v>98</v>
      </c>
      <c r="E16" s="125" t="s">
        <v>99</v>
      </c>
      <c r="F16" s="125" t="s">
        <v>100</v>
      </c>
      <c r="G16" s="127">
        <v>5000</v>
      </c>
      <c r="H16" s="127">
        <v>1000</v>
      </c>
    </row>
    <row r="17" spans="1:8">
      <c r="A17" s="124" t="s">
        <v>72</v>
      </c>
      <c r="B17" s="125"/>
      <c r="C17" s="128" t="s">
        <v>101</v>
      </c>
      <c r="D17" s="124" t="s">
        <v>102</v>
      </c>
      <c r="E17" s="125" t="s">
        <v>99</v>
      </c>
      <c r="F17" s="125" t="s">
        <v>100</v>
      </c>
      <c r="G17" s="127">
        <v>5000</v>
      </c>
      <c r="H17" s="127">
        <v>1000</v>
      </c>
    </row>
    <row r="18" spans="1:8">
      <c r="A18" s="124"/>
      <c r="B18" s="125"/>
      <c r="C18" s="125"/>
      <c r="D18" s="124"/>
      <c r="E18" s="125"/>
      <c r="F18" s="125"/>
      <c r="G18" s="127"/>
      <c r="H18" s="127"/>
    </row>
    <row r="19" spans="1:8">
      <c r="A19" s="124"/>
      <c r="B19" s="125"/>
      <c r="C19" s="125"/>
      <c r="D19" s="125"/>
      <c r="E19" s="125"/>
      <c r="F19" s="125"/>
      <c r="G19" s="127"/>
      <c r="H19" s="127"/>
    </row>
    <row r="22" spans="1:8">
      <c r="C22" s="120"/>
    </row>
    <row r="23" spans="1:8">
      <c r="C23" s="120"/>
    </row>
    <row r="24" spans="1:8">
      <c r="C24" s="120"/>
    </row>
    <row r="25" spans="1:8">
      <c r="C25" s="120"/>
    </row>
    <row r="26" spans="1:8">
      <c r="C26" s="120"/>
    </row>
    <row r="27" spans="1:8">
      <c r="C27" s="120"/>
    </row>
    <row r="28" spans="1:8">
      <c r="C28" s="120"/>
    </row>
    <row r="29" spans="1:8">
      <c r="C29" s="120"/>
    </row>
  </sheetData>
  <mergeCells count="8">
    <mergeCell ref="D9:D12"/>
    <mergeCell ref="D5:D8"/>
    <mergeCell ref="B1:B2"/>
    <mergeCell ref="A1:A2"/>
    <mergeCell ref="F1:H1"/>
    <mergeCell ref="E1:E2"/>
    <mergeCell ref="D1:D2"/>
    <mergeCell ref="C1:C2"/>
  </mergeCells>
  <hyperlinks>
    <hyperlink ref="D9" r:id="rId1" xr:uid="{C78F9906-8073-47EE-A825-E7019367F46B}"/>
  </hyperlinks>
  <pageMargins left="0.7" right="0.7" top="0.75" bottom="0.75" header="0.3" footer="0.3"/>
  <pageSetup paperSize="9" orientation="portrait" horizontalDpi="360" verticalDpi="360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9A66-CB73-488E-8A7B-42C67A3CC348}">
  <dimension ref="A1:K13"/>
  <sheetViews>
    <sheetView workbookViewId="0">
      <selection activeCell="A14" sqref="A14:A15"/>
    </sheetView>
  </sheetViews>
  <sheetFormatPr defaultRowHeight="14.45"/>
  <cols>
    <col min="1" max="1" width="41.140625" customWidth="1"/>
    <col min="2" max="2" width="9.5703125" bestFit="1" customWidth="1"/>
    <col min="3" max="3" width="6.140625" bestFit="1" customWidth="1"/>
    <col min="4" max="4" width="6.42578125" customWidth="1"/>
    <col min="5" max="5" width="41.5703125" customWidth="1"/>
    <col min="6" max="6" width="4" customWidth="1"/>
    <col min="11" max="11" width="28.7109375" customWidth="1"/>
  </cols>
  <sheetData>
    <row r="1" spans="1:11" ht="15.75" customHeight="1">
      <c r="A1" s="137" t="s">
        <v>34</v>
      </c>
      <c r="B1" s="142" t="s">
        <v>35</v>
      </c>
      <c r="C1" s="155" t="s">
        <v>4</v>
      </c>
      <c r="D1" s="156"/>
      <c r="E1" s="134" t="s">
        <v>38</v>
      </c>
      <c r="G1" s="161" t="s">
        <v>103</v>
      </c>
      <c r="H1" s="102" t="s">
        <v>46</v>
      </c>
      <c r="I1" s="102" t="s">
        <v>45</v>
      </c>
      <c r="J1" s="102" t="s">
        <v>104</v>
      </c>
      <c r="K1" s="103" t="s">
        <v>38</v>
      </c>
    </row>
    <row r="2" spans="1:11" ht="15" customHeight="1">
      <c r="A2" s="139"/>
      <c r="B2" s="154"/>
      <c r="C2" s="77" t="s">
        <v>105</v>
      </c>
      <c r="D2" s="77" t="s">
        <v>106</v>
      </c>
      <c r="E2" s="136"/>
      <c r="G2" s="162"/>
      <c r="H2" s="159">
        <v>8</v>
      </c>
      <c r="I2" s="159">
        <v>20</v>
      </c>
      <c r="J2" s="159">
        <v>27</v>
      </c>
      <c r="K2" s="157" t="s">
        <v>107</v>
      </c>
    </row>
    <row r="3" spans="1:11" ht="14.45" customHeight="1">
      <c r="A3" s="78" t="s">
        <v>108</v>
      </c>
      <c r="B3" s="87" t="s">
        <v>63</v>
      </c>
      <c r="C3" s="100">
        <v>10</v>
      </c>
      <c r="D3" s="79" t="s">
        <v>109</v>
      </c>
      <c r="E3" s="80" t="s">
        <v>110</v>
      </c>
      <c r="G3" s="163"/>
      <c r="H3" s="160"/>
      <c r="I3" s="160"/>
      <c r="J3" s="160"/>
      <c r="K3" s="158"/>
    </row>
    <row r="4" spans="1:11">
      <c r="A4" s="70" t="s">
        <v>111</v>
      </c>
      <c r="B4" s="66" t="s">
        <v>63</v>
      </c>
      <c r="C4" s="101">
        <v>3</v>
      </c>
      <c r="D4" s="67" t="s">
        <v>109</v>
      </c>
      <c r="E4" s="71" t="s">
        <v>110</v>
      </c>
    </row>
    <row r="5" spans="1:11">
      <c r="A5" s="70" t="s">
        <v>112</v>
      </c>
      <c r="B5" s="66" t="s">
        <v>63</v>
      </c>
      <c r="C5" s="101">
        <v>30</v>
      </c>
      <c r="D5" s="67" t="s">
        <v>109</v>
      </c>
      <c r="E5" s="71" t="s">
        <v>110</v>
      </c>
    </row>
    <row r="6" spans="1:11">
      <c r="A6" s="70" t="s">
        <v>113</v>
      </c>
      <c r="B6" s="66" t="s">
        <v>63</v>
      </c>
      <c r="C6" s="101">
        <v>30</v>
      </c>
      <c r="D6" s="67" t="s">
        <v>109</v>
      </c>
      <c r="E6" s="71" t="s">
        <v>110</v>
      </c>
    </row>
    <row r="7" spans="1:11">
      <c r="A7" s="70" t="s">
        <v>114</v>
      </c>
      <c r="B7" s="66" t="s">
        <v>63</v>
      </c>
      <c r="C7" s="101">
        <v>30</v>
      </c>
      <c r="D7" s="67" t="s">
        <v>109</v>
      </c>
      <c r="E7" s="71" t="s">
        <v>110</v>
      </c>
    </row>
    <row r="8" spans="1:11">
      <c r="A8" s="70" t="s">
        <v>115</v>
      </c>
      <c r="B8" s="66" t="s">
        <v>63</v>
      </c>
      <c r="C8" s="101">
        <v>30</v>
      </c>
      <c r="D8" s="67" t="s">
        <v>109</v>
      </c>
      <c r="E8" s="71" t="s">
        <v>110</v>
      </c>
    </row>
    <row r="9" spans="1:11">
      <c r="A9" s="104" t="s">
        <v>116</v>
      </c>
      <c r="B9" s="66" t="s">
        <v>63</v>
      </c>
      <c r="C9" s="101">
        <v>30</v>
      </c>
      <c r="D9" s="67" t="s">
        <v>109</v>
      </c>
      <c r="E9" s="71" t="s">
        <v>110</v>
      </c>
    </row>
    <row r="10" spans="1:11">
      <c r="A10" s="104" t="s">
        <v>117</v>
      </c>
      <c r="B10" s="66" t="s">
        <v>63</v>
      </c>
      <c r="C10" s="101">
        <v>60</v>
      </c>
      <c r="D10" s="67" t="s">
        <v>109</v>
      </c>
      <c r="E10" s="71" t="s">
        <v>110</v>
      </c>
    </row>
    <row r="11" spans="1:11">
      <c r="A11" s="73" t="s">
        <v>118</v>
      </c>
      <c r="B11" s="66" t="s">
        <v>63</v>
      </c>
      <c r="C11" s="85"/>
      <c r="D11" s="69"/>
      <c r="E11" s="72"/>
    </row>
    <row r="12" spans="1:11">
      <c r="A12" s="110" t="s">
        <v>119</v>
      </c>
      <c r="B12" s="66" t="s">
        <v>63</v>
      </c>
      <c r="C12" s="112"/>
      <c r="D12" s="111"/>
      <c r="E12" s="113"/>
    </row>
    <row r="13" spans="1:11">
      <c r="A13" s="74"/>
      <c r="B13" s="75"/>
      <c r="C13" s="86"/>
      <c r="D13" s="75"/>
      <c r="E13" s="76"/>
    </row>
  </sheetData>
  <mergeCells count="9">
    <mergeCell ref="A1:A2"/>
    <mergeCell ref="E1:E2"/>
    <mergeCell ref="B1:B2"/>
    <mergeCell ref="C1:D1"/>
    <mergeCell ref="K2:K3"/>
    <mergeCell ref="J2:J3"/>
    <mergeCell ref="I2:I3"/>
    <mergeCell ref="H2:H3"/>
    <mergeCell ref="G1:G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967B-09AF-4842-A251-C781DF0925CB}">
  <dimension ref="A1:Y12"/>
  <sheetViews>
    <sheetView tabSelected="1" topLeftCell="A3" workbookViewId="0">
      <selection activeCell="M9" sqref="M9:M20"/>
    </sheetView>
  </sheetViews>
  <sheetFormatPr defaultRowHeight="14.45"/>
  <cols>
    <col min="1" max="1" width="24.28515625" customWidth="1"/>
    <col min="2" max="2" width="34.85546875" customWidth="1"/>
    <col min="5" max="5" width="15.28515625" customWidth="1"/>
    <col min="7" max="7" width="19.7109375" customWidth="1"/>
    <col min="8" max="8" width="15.42578125" customWidth="1"/>
    <col min="22" max="22" width="9.42578125" customWidth="1"/>
    <col min="23" max="23" width="14.7109375" customWidth="1"/>
    <col min="24" max="24" width="16.28515625" customWidth="1"/>
    <col min="25" max="25" width="12.5703125" customWidth="1"/>
  </cols>
  <sheetData>
    <row r="1" spans="1:25">
      <c r="A1" s="168" t="s">
        <v>120</v>
      </c>
      <c r="B1" s="166" t="s">
        <v>121</v>
      </c>
      <c r="C1" s="164" t="s">
        <v>122</v>
      </c>
      <c r="D1" s="164" t="s">
        <v>123</v>
      </c>
      <c r="E1" s="164" t="s">
        <v>124</v>
      </c>
      <c r="F1" s="164" t="s">
        <v>125</v>
      </c>
      <c r="G1" s="180" t="s">
        <v>126</v>
      </c>
      <c r="H1" s="178" t="s">
        <v>127</v>
      </c>
      <c r="I1" s="170" t="s">
        <v>128</v>
      </c>
      <c r="J1" s="176" t="s">
        <v>129</v>
      </c>
      <c r="K1" s="176"/>
      <c r="L1" s="176"/>
      <c r="M1" s="176"/>
      <c r="N1" s="176" t="s">
        <v>130</v>
      </c>
      <c r="O1" s="176"/>
      <c r="P1" s="176"/>
      <c r="Q1" s="176"/>
      <c r="R1" s="177" t="s">
        <v>131</v>
      </c>
      <c r="S1" s="177"/>
      <c r="T1" s="177"/>
      <c r="U1" s="177"/>
      <c r="V1" s="170" t="s">
        <v>132</v>
      </c>
      <c r="W1" s="172" t="s">
        <v>133</v>
      </c>
      <c r="X1" s="172" t="s">
        <v>134</v>
      </c>
      <c r="Y1" s="174" t="s">
        <v>135</v>
      </c>
    </row>
    <row r="2" spans="1:25" s="34" customFormat="1" ht="43.15">
      <c r="A2" s="169"/>
      <c r="B2" s="167"/>
      <c r="C2" s="165"/>
      <c r="D2" s="165"/>
      <c r="E2" s="165"/>
      <c r="F2" s="165"/>
      <c r="G2" s="181"/>
      <c r="H2" s="179"/>
      <c r="I2" s="171"/>
      <c r="J2" s="47" t="s">
        <v>136</v>
      </c>
      <c r="K2" s="47" t="s">
        <v>137</v>
      </c>
      <c r="L2" s="47" t="s">
        <v>138</v>
      </c>
      <c r="M2" s="47" t="s">
        <v>139</v>
      </c>
      <c r="N2" s="47" t="s">
        <v>136</v>
      </c>
      <c r="O2" s="47" t="s">
        <v>137</v>
      </c>
      <c r="P2" s="47" t="s">
        <v>138</v>
      </c>
      <c r="Q2" s="47" t="s">
        <v>139</v>
      </c>
      <c r="R2" s="48" t="s">
        <v>138</v>
      </c>
      <c r="S2" s="48" t="s">
        <v>139</v>
      </c>
      <c r="T2" s="48" t="s">
        <v>140</v>
      </c>
      <c r="U2" s="48" t="s">
        <v>141</v>
      </c>
      <c r="V2" s="171"/>
      <c r="W2" s="173"/>
      <c r="X2" s="173"/>
      <c r="Y2" s="175"/>
    </row>
    <row r="3" spans="1:25" s="33" customFormat="1" ht="28.9">
      <c r="A3" s="49" t="s">
        <v>142</v>
      </c>
      <c r="B3" s="50" t="s">
        <v>143</v>
      </c>
      <c r="C3" s="50" t="s">
        <v>144</v>
      </c>
      <c r="D3" s="50" t="s">
        <v>145</v>
      </c>
      <c r="E3" s="50" t="s">
        <v>146</v>
      </c>
      <c r="F3" s="50" t="s">
        <v>147</v>
      </c>
      <c r="G3" s="50" t="s">
        <v>148</v>
      </c>
      <c r="H3" s="51" t="s">
        <v>149</v>
      </c>
      <c r="I3" s="52" t="s">
        <v>150</v>
      </c>
      <c r="J3" s="53" t="s">
        <v>151</v>
      </c>
      <c r="K3" s="53" t="s">
        <v>151</v>
      </c>
      <c r="L3" s="53" t="s">
        <v>151</v>
      </c>
      <c r="M3" s="53" t="s">
        <v>151</v>
      </c>
      <c r="N3" s="53" t="s">
        <v>151</v>
      </c>
      <c r="O3" s="53" t="s">
        <v>151</v>
      </c>
      <c r="P3" s="53" t="s">
        <v>151</v>
      </c>
      <c r="Q3" s="53" t="s">
        <v>151</v>
      </c>
      <c r="R3" s="53" t="s">
        <v>151</v>
      </c>
      <c r="S3" s="53" t="s">
        <v>151</v>
      </c>
      <c r="T3" s="53" t="s">
        <v>151</v>
      </c>
      <c r="U3" s="53" t="s">
        <v>151</v>
      </c>
      <c r="V3" s="53" t="s">
        <v>152</v>
      </c>
      <c r="W3" s="53" t="s">
        <v>153</v>
      </c>
      <c r="X3" s="53" t="s">
        <v>154</v>
      </c>
      <c r="Y3" s="54" t="s">
        <v>155</v>
      </c>
    </row>
    <row r="4" spans="1:25" s="33" customFormat="1">
      <c r="A4" s="49" t="s">
        <v>156</v>
      </c>
      <c r="B4" s="50" t="s">
        <v>144</v>
      </c>
      <c r="C4" s="50"/>
      <c r="D4" s="50" t="s">
        <v>72</v>
      </c>
      <c r="E4" s="50"/>
      <c r="F4" s="50"/>
      <c r="G4" s="50"/>
      <c r="H4" s="51"/>
      <c r="I4" s="52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4"/>
    </row>
    <row r="5" spans="1:25" s="33" customFormat="1">
      <c r="A5" s="49" t="s">
        <v>157</v>
      </c>
      <c r="B5" s="50" t="s">
        <v>158</v>
      </c>
      <c r="C5" s="50"/>
      <c r="D5" s="50" t="s">
        <v>72</v>
      </c>
      <c r="E5" s="50"/>
      <c r="F5" s="50"/>
      <c r="G5" s="50"/>
      <c r="H5" s="51"/>
      <c r="I5" s="52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</row>
    <row r="6" spans="1:25" s="33" customFormat="1">
      <c r="A6" s="49" t="s">
        <v>159</v>
      </c>
      <c r="B6" s="50" t="s">
        <v>160</v>
      </c>
      <c r="C6" s="50"/>
      <c r="D6" s="50" t="s">
        <v>72</v>
      </c>
      <c r="E6" s="50"/>
      <c r="F6" s="50"/>
      <c r="G6" s="50"/>
      <c r="H6" s="51"/>
      <c r="I6" s="52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4"/>
    </row>
    <row r="7" spans="1:25" s="33" customFormat="1" ht="28.9">
      <c r="A7" s="49" t="s">
        <v>161</v>
      </c>
      <c r="B7" s="50" t="s">
        <v>162</v>
      </c>
      <c r="C7" s="50"/>
      <c r="D7" s="50" t="s">
        <v>163</v>
      </c>
      <c r="E7" s="50"/>
      <c r="F7" s="50"/>
      <c r="G7" s="50"/>
      <c r="H7" s="51"/>
      <c r="I7" s="52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4"/>
    </row>
    <row r="8" spans="1:25" s="33" customFormat="1">
      <c r="A8" s="49" t="s">
        <v>164</v>
      </c>
      <c r="B8" s="50" t="s">
        <v>165</v>
      </c>
      <c r="C8" s="50"/>
      <c r="D8" s="50" t="s">
        <v>72</v>
      </c>
      <c r="E8" s="50"/>
      <c r="F8" s="50"/>
      <c r="G8" s="50"/>
      <c r="H8" s="51"/>
      <c r="I8" s="52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4"/>
    </row>
    <row r="9" spans="1:25" s="33" customFormat="1">
      <c r="A9" s="49" t="s">
        <v>166</v>
      </c>
      <c r="B9" s="50" t="s">
        <v>167</v>
      </c>
      <c r="C9" s="50"/>
      <c r="D9" s="50" t="s">
        <v>168</v>
      </c>
      <c r="E9" s="50"/>
      <c r="F9" s="50"/>
      <c r="G9" s="50"/>
      <c r="H9" s="51"/>
      <c r="I9" s="52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4"/>
    </row>
    <row r="10" spans="1:25" s="33" customFormat="1">
      <c r="A10" s="49"/>
      <c r="B10" s="50"/>
      <c r="C10" s="50"/>
      <c r="D10" s="50"/>
      <c r="E10" s="50"/>
      <c r="F10" s="50"/>
      <c r="G10" s="50"/>
      <c r="H10" s="51"/>
      <c r="I10" s="52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4"/>
    </row>
    <row r="11" spans="1:25" s="33" customFormat="1">
      <c r="A11" s="39"/>
      <c r="B11" s="35"/>
      <c r="C11" s="35"/>
      <c r="D11" s="35"/>
      <c r="E11" s="35"/>
      <c r="F11" s="35"/>
      <c r="G11" s="35"/>
      <c r="H11" s="36"/>
      <c r="I11" s="3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40"/>
    </row>
    <row r="12" spans="1:25" s="33" customFormat="1">
      <c r="A12" s="41"/>
      <c r="B12" s="42"/>
      <c r="C12" s="42"/>
      <c r="D12" s="42"/>
      <c r="E12" s="42"/>
      <c r="F12" s="42"/>
      <c r="G12" s="42"/>
      <c r="H12" s="43"/>
      <c r="I12" s="44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6"/>
    </row>
  </sheetData>
  <mergeCells count="16">
    <mergeCell ref="V1:V2"/>
    <mergeCell ref="W1:W2"/>
    <mergeCell ref="X1:X2"/>
    <mergeCell ref="Y1:Y2"/>
    <mergeCell ref="F1:F2"/>
    <mergeCell ref="J1:M1"/>
    <mergeCell ref="N1:Q1"/>
    <mergeCell ref="R1:U1"/>
    <mergeCell ref="I1:I2"/>
    <mergeCell ref="H1:H2"/>
    <mergeCell ref="G1:G2"/>
    <mergeCell ref="E1:E2"/>
    <mergeCell ref="D1:D2"/>
    <mergeCell ref="C1:C2"/>
    <mergeCell ref="B1:B2"/>
    <mergeCell ref="A1:A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02AE-2F58-47BB-B77B-4C30C0B83C9A}">
  <dimension ref="A3:I32"/>
  <sheetViews>
    <sheetView topLeftCell="A16" workbookViewId="0">
      <selection activeCell="A21" sqref="A21:G32"/>
    </sheetView>
  </sheetViews>
  <sheetFormatPr defaultRowHeight="14.45"/>
  <cols>
    <col min="1" max="1" width="39" customWidth="1"/>
    <col min="2" max="2" width="16.28515625" bestFit="1" customWidth="1"/>
    <col min="3" max="3" width="8.28515625" bestFit="1" customWidth="1"/>
    <col min="4" max="4" width="11.5703125" bestFit="1" customWidth="1"/>
    <col min="5" max="5" width="9" bestFit="1" customWidth="1"/>
    <col min="6" max="6" width="6.42578125" bestFit="1" customWidth="1"/>
    <col min="7" max="8" width="11.28515625" bestFit="1" customWidth="1"/>
    <col min="9" max="9" width="9" bestFit="1" customWidth="1"/>
    <col min="10" max="10" width="6.42578125" bestFit="1" customWidth="1"/>
    <col min="11" max="11" width="8.7109375" bestFit="1" customWidth="1"/>
    <col min="12" max="12" width="9.140625" bestFit="1" customWidth="1"/>
    <col min="13" max="13" width="11.28515625" bestFit="1" customWidth="1"/>
    <col min="14" max="22" width="10.7109375" bestFit="1" customWidth="1"/>
    <col min="23" max="23" width="11.28515625" bestFit="1" customWidth="1"/>
  </cols>
  <sheetData>
    <row r="3" spans="1:8">
      <c r="A3" s="5" t="s">
        <v>169</v>
      </c>
      <c r="B3" s="5" t="s">
        <v>170</v>
      </c>
    </row>
    <row r="4" spans="1:8">
      <c r="A4" s="5" t="s">
        <v>171</v>
      </c>
      <c r="B4" t="s">
        <v>172</v>
      </c>
      <c r="C4" t="s">
        <v>173</v>
      </c>
      <c r="D4" t="s">
        <v>174</v>
      </c>
      <c r="E4" t="s">
        <v>175</v>
      </c>
      <c r="F4" t="s">
        <v>176</v>
      </c>
      <c r="G4" t="s">
        <v>177</v>
      </c>
      <c r="H4" t="s">
        <v>178</v>
      </c>
    </row>
    <row r="5" spans="1:8">
      <c r="A5" s="6" t="s">
        <v>179</v>
      </c>
      <c r="B5" s="2"/>
      <c r="C5" s="2">
        <v>105</v>
      </c>
      <c r="D5" s="2">
        <v>46</v>
      </c>
      <c r="E5" s="2">
        <v>32</v>
      </c>
      <c r="F5" s="2">
        <v>130</v>
      </c>
      <c r="G5" s="2">
        <v>5</v>
      </c>
      <c r="H5" s="2">
        <v>318</v>
      </c>
    </row>
    <row r="6" spans="1:8">
      <c r="A6" s="6" t="s">
        <v>180</v>
      </c>
      <c r="B6" s="2"/>
      <c r="C6" s="2">
        <v>190</v>
      </c>
      <c r="D6" s="2">
        <v>108</v>
      </c>
      <c r="E6" s="2">
        <v>23</v>
      </c>
      <c r="F6" s="2">
        <v>255</v>
      </c>
      <c r="G6" s="2">
        <v>13</v>
      </c>
      <c r="H6" s="2">
        <v>589</v>
      </c>
    </row>
    <row r="7" spans="1:8">
      <c r="A7" s="6" t="s">
        <v>181</v>
      </c>
      <c r="B7" s="2"/>
      <c r="C7" s="2">
        <v>77</v>
      </c>
      <c r="D7" s="2">
        <v>73</v>
      </c>
      <c r="E7" s="2">
        <v>69</v>
      </c>
      <c r="F7" s="2">
        <v>269</v>
      </c>
      <c r="G7" s="2">
        <v>11</v>
      </c>
      <c r="H7" s="2">
        <v>499</v>
      </c>
    </row>
    <row r="8" spans="1:8">
      <c r="A8" s="6" t="s">
        <v>182</v>
      </c>
      <c r="B8" s="2"/>
      <c r="C8" s="2">
        <v>228</v>
      </c>
      <c r="D8" s="2">
        <v>39</v>
      </c>
      <c r="E8" s="2">
        <v>19</v>
      </c>
      <c r="F8" s="2">
        <v>105</v>
      </c>
      <c r="G8" s="2"/>
      <c r="H8" s="2">
        <v>391</v>
      </c>
    </row>
    <row r="9" spans="1:8">
      <c r="A9" s="6" t="s">
        <v>183</v>
      </c>
      <c r="B9" s="2"/>
      <c r="C9" s="2">
        <v>328</v>
      </c>
      <c r="D9" s="2">
        <v>75</v>
      </c>
      <c r="E9" s="2">
        <v>32</v>
      </c>
      <c r="F9" s="2">
        <v>311</v>
      </c>
      <c r="G9" s="2"/>
      <c r="H9" s="2">
        <v>746</v>
      </c>
    </row>
    <row r="10" spans="1:8">
      <c r="A10" s="6" t="s">
        <v>184</v>
      </c>
      <c r="B10" s="2"/>
      <c r="C10" s="2">
        <v>272</v>
      </c>
      <c r="D10" s="2">
        <v>52</v>
      </c>
      <c r="E10" s="2">
        <v>23</v>
      </c>
      <c r="F10" s="2">
        <v>196</v>
      </c>
      <c r="G10" s="2"/>
      <c r="H10" s="2">
        <v>543</v>
      </c>
    </row>
    <row r="11" spans="1:8">
      <c r="A11" s="6" t="s">
        <v>185</v>
      </c>
      <c r="B11" s="2"/>
      <c r="C11" s="2">
        <v>14</v>
      </c>
      <c r="D11" s="2"/>
      <c r="E11" s="2"/>
      <c r="F11" s="2"/>
      <c r="G11" s="2"/>
      <c r="H11" s="2">
        <v>14</v>
      </c>
    </row>
    <row r="12" spans="1:8">
      <c r="A12" s="6" t="s">
        <v>186</v>
      </c>
      <c r="B12" s="2"/>
      <c r="C12" s="2">
        <v>317</v>
      </c>
      <c r="D12" s="2">
        <v>31</v>
      </c>
      <c r="E12" s="2"/>
      <c r="F12" s="2">
        <v>11</v>
      </c>
      <c r="G12" s="2"/>
      <c r="H12" s="2">
        <v>359</v>
      </c>
    </row>
    <row r="13" spans="1:8">
      <c r="A13" s="6" t="s">
        <v>187</v>
      </c>
      <c r="B13" s="2"/>
      <c r="C13" s="2">
        <v>86</v>
      </c>
      <c r="D13" s="2">
        <v>51</v>
      </c>
      <c r="E13" s="2">
        <v>52</v>
      </c>
      <c r="F13" s="2">
        <v>157</v>
      </c>
      <c r="G13" s="2">
        <v>7</v>
      </c>
      <c r="H13" s="2">
        <v>353</v>
      </c>
    </row>
    <row r="14" spans="1:8">
      <c r="A14" s="6" t="s">
        <v>188</v>
      </c>
      <c r="B14" s="2"/>
      <c r="C14" s="2">
        <v>149</v>
      </c>
      <c r="D14" s="2">
        <v>42</v>
      </c>
      <c r="E14" s="2">
        <v>22</v>
      </c>
      <c r="F14" s="2">
        <v>190</v>
      </c>
      <c r="G14" s="2"/>
      <c r="H14" s="2">
        <v>403</v>
      </c>
    </row>
    <row r="15" spans="1:8">
      <c r="A15" s="6" t="s">
        <v>189</v>
      </c>
      <c r="B15" s="2"/>
      <c r="C15" s="2">
        <v>72</v>
      </c>
      <c r="D15" s="2">
        <v>17</v>
      </c>
      <c r="E15" s="2">
        <v>4</v>
      </c>
      <c r="F15" s="2">
        <v>51</v>
      </c>
      <c r="G15" s="2">
        <v>6</v>
      </c>
      <c r="H15" s="2">
        <v>150</v>
      </c>
    </row>
    <row r="16" spans="1:8">
      <c r="A16" s="6" t="s">
        <v>178</v>
      </c>
      <c r="B16" s="2"/>
      <c r="C16" s="2">
        <v>1838</v>
      </c>
      <c r="D16" s="2">
        <v>534</v>
      </c>
      <c r="E16" s="2">
        <v>276</v>
      </c>
      <c r="F16" s="2">
        <v>1675</v>
      </c>
      <c r="G16" s="2">
        <v>42</v>
      </c>
      <c r="H16" s="2">
        <v>4365</v>
      </c>
    </row>
    <row r="20" spans="1:9">
      <c r="A20" s="5" t="s">
        <v>190</v>
      </c>
      <c r="B20" s="5" t="s">
        <v>170</v>
      </c>
    </row>
    <row r="21" spans="1:9">
      <c r="A21" s="5" t="s">
        <v>171</v>
      </c>
      <c r="B21" t="s">
        <v>172</v>
      </c>
      <c r="C21" t="s">
        <v>173</v>
      </c>
      <c r="D21" t="s">
        <v>174</v>
      </c>
      <c r="E21" t="s">
        <v>175</v>
      </c>
      <c r="F21" t="s">
        <v>176</v>
      </c>
      <c r="G21" t="s">
        <v>178</v>
      </c>
      <c r="I21" t="s">
        <v>191</v>
      </c>
    </row>
    <row r="22" spans="1:9">
      <c r="A22" s="6" t="s">
        <v>179</v>
      </c>
      <c r="B22" s="2">
        <v>9</v>
      </c>
      <c r="C22" s="2"/>
      <c r="D22" s="2">
        <v>2</v>
      </c>
      <c r="E22" s="2">
        <v>9</v>
      </c>
      <c r="F22" s="2"/>
      <c r="G22" s="2">
        <v>20</v>
      </c>
    </row>
    <row r="23" spans="1:9">
      <c r="A23" s="6" t="s">
        <v>180</v>
      </c>
      <c r="B23" s="2">
        <v>5</v>
      </c>
      <c r="C23" s="2">
        <v>3</v>
      </c>
      <c r="D23" s="2"/>
      <c r="E23" s="2">
        <v>17</v>
      </c>
      <c r="F23" s="2"/>
      <c r="G23" s="2">
        <v>25</v>
      </c>
    </row>
    <row r="24" spans="1:9">
      <c r="A24" s="6" t="s">
        <v>181</v>
      </c>
      <c r="B24" s="2">
        <v>4</v>
      </c>
      <c r="C24" s="2">
        <v>4</v>
      </c>
      <c r="D24" s="2">
        <v>4</v>
      </c>
      <c r="E24" s="2">
        <v>12</v>
      </c>
      <c r="F24" s="2"/>
      <c r="G24" s="2">
        <v>24</v>
      </c>
    </row>
    <row r="25" spans="1:9">
      <c r="A25" s="6" t="s">
        <v>182</v>
      </c>
      <c r="B25" s="2">
        <v>4</v>
      </c>
      <c r="C25" s="2">
        <v>6</v>
      </c>
      <c r="D25" s="2">
        <v>2</v>
      </c>
      <c r="E25" s="2">
        <v>2</v>
      </c>
      <c r="F25" s="2"/>
      <c r="G25" s="2">
        <v>14</v>
      </c>
    </row>
    <row r="26" spans="1:9">
      <c r="A26" s="6" t="s">
        <v>183</v>
      </c>
      <c r="B26" s="2">
        <v>8</v>
      </c>
      <c r="C26" s="2">
        <v>9</v>
      </c>
      <c r="D26" s="2">
        <v>3</v>
      </c>
      <c r="E26" s="2">
        <v>9</v>
      </c>
      <c r="F26" s="2"/>
      <c r="G26" s="2">
        <v>29</v>
      </c>
    </row>
    <row r="27" spans="1:9">
      <c r="A27" s="6" t="s">
        <v>184</v>
      </c>
      <c r="B27" s="2">
        <v>7</v>
      </c>
      <c r="C27" s="2">
        <v>7</v>
      </c>
      <c r="D27" s="2">
        <v>3</v>
      </c>
      <c r="E27" s="2">
        <v>6</v>
      </c>
      <c r="F27" s="2"/>
      <c r="G27" s="2">
        <v>23</v>
      </c>
    </row>
    <row r="28" spans="1:9">
      <c r="A28" s="6" t="s">
        <v>186</v>
      </c>
      <c r="B28" s="2">
        <v>1</v>
      </c>
      <c r="C28" s="2"/>
      <c r="D28" s="2">
        <v>1</v>
      </c>
      <c r="E28" s="2"/>
      <c r="F28" s="2"/>
      <c r="G28" s="2">
        <v>2</v>
      </c>
    </row>
    <row r="29" spans="1:9">
      <c r="A29" s="6" t="s">
        <v>187</v>
      </c>
      <c r="B29" s="2">
        <v>8</v>
      </c>
      <c r="C29" s="2">
        <v>1</v>
      </c>
      <c r="D29" s="2">
        <v>2</v>
      </c>
      <c r="E29" s="2">
        <v>9</v>
      </c>
      <c r="F29" s="2"/>
      <c r="G29" s="2">
        <v>20</v>
      </c>
    </row>
    <row r="30" spans="1:9">
      <c r="A30" s="6" t="s">
        <v>188</v>
      </c>
      <c r="B30" s="2">
        <v>3</v>
      </c>
      <c r="C30" s="2">
        <v>3</v>
      </c>
      <c r="D30" s="2">
        <v>2</v>
      </c>
      <c r="E30" s="2">
        <v>12</v>
      </c>
      <c r="F30" s="2"/>
      <c r="G30" s="2">
        <v>20</v>
      </c>
    </row>
    <row r="31" spans="1:9">
      <c r="A31" s="6" t="s">
        <v>189</v>
      </c>
      <c r="B31" s="2">
        <v>7</v>
      </c>
      <c r="C31" s="2"/>
      <c r="D31" s="2"/>
      <c r="E31" s="2">
        <v>32</v>
      </c>
      <c r="F31" s="2"/>
      <c r="G31" s="2">
        <v>39</v>
      </c>
    </row>
    <row r="32" spans="1:9">
      <c r="A32" s="6" t="s">
        <v>178</v>
      </c>
      <c r="B32" s="2">
        <v>56</v>
      </c>
      <c r="C32" s="2">
        <v>33</v>
      </c>
      <c r="D32" s="2">
        <v>19</v>
      </c>
      <c r="E32" s="2">
        <v>108</v>
      </c>
      <c r="F32" s="2"/>
      <c r="G32" s="2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2336-4E80-4C10-9FF8-88878927A08B}">
  <dimension ref="A1:Q186"/>
  <sheetViews>
    <sheetView workbookViewId="0">
      <pane ySplit="7" topLeftCell="A10" activePane="bottomLeft" state="frozen"/>
      <selection pane="bottomLeft" activeCell="A10" sqref="A10"/>
    </sheetView>
  </sheetViews>
  <sheetFormatPr defaultRowHeight="14.45"/>
  <cols>
    <col min="1" max="1" width="23.140625" customWidth="1"/>
    <col min="2" max="2" width="15.28515625" customWidth="1"/>
    <col min="3" max="3" width="23.85546875" customWidth="1"/>
    <col min="4" max="4" width="23.5703125" customWidth="1"/>
    <col min="7" max="7" width="22.28515625" customWidth="1"/>
    <col min="8" max="8" width="33" customWidth="1"/>
    <col min="9" max="9" width="19" customWidth="1"/>
    <col min="10" max="10" width="19.28515625" bestFit="1" customWidth="1"/>
    <col min="13" max="13" width="37.5703125" customWidth="1"/>
    <col min="15" max="15" width="34.5703125" customWidth="1"/>
    <col min="17" max="17" width="27.28515625" customWidth="1"/>
  </cols>
  <sheetData>
    <row r="1" spans="1:17">
      <c r="A1" t="s">
        <v>192</v>
      </c>
      <c r="G1" t="s">
        <v>192</v>
      </c>
    </row>
    <row r="2" spans="1:17">
      <c r="A2" t="s">
        <v>193</v>
      </c>
      <c r="G2" t="s">
        <v>193</v>
      </c>
    </row>
    <row r="3" spans="1:17">
      <c r="G3" t="s">
        <v>194</v>
      </c>
    </row>
    <row r="4" spans="1:17">
      <c r="A4" s="4" t="s">
        <v>195</v>
      </c>
      <c r="G4" t="s">
        <v>196</v>
      </c>
      <c r="M4" t="s">
        <v>192</v>
      </c>
      <c r="O4" t="s">
        <v>192</v>
      </c>
      <c r="Q4" t="s">
        <v>192</v>
      </c>
    </row>
    <row r="5" spans="1:17">
      <c r="A5" t="s">
        <v>197</v>
      </c>
      <c r="M5" t="s">
        <v>198</v>
      </c>
      <c r="O5" t="s">
        <v>199</v>
      </c>
      <c r="Q5" t="s">
        <v>200</v>
      </c>
    </row>
    <row r="7" spans="1:17">
      <c r="A7" s="3" t="s">
        <v>201</v>
      </c>
      <c r="B7" s="3" t="s">
        <v>202</v>
      </c>
      <c r="C7" s="3" t="s">
        <v>203</v>
      </c>
      <c r="D7" s="3" t="s">
        <v>204</v>
      </c>
      <c r="G7" s="3" t="s">
        <v>201</v>
      </c>
      <c r="H7" s="3" t="s">
        <v>202</v>
      </c>
      <c r="I7" s="3" t="s">
        <v>205</v>
      </c>
      <c r="J7" s="3" t="s">
        <v>204</v>
      </c>
      <c r="M7" s="3" t="s">
        <v>206</v>
      </c>
      <c r="O7" s="3" t="s">
        <v>207</v>
      </c>
      <c r="Q7" s="3" t="s">
        <v>204</v>
      </c>
    </row>
    <row r="8" spans="1:17">
      <c r="A8" s="7" t="s">
        <v>180</v>
      </c>
      <c r="B8" s="7" t="s">
        <v>172</v>
      </c>
      <c r="C8" s="8"/>
      <c r="D8" s="9"/>
      <c r="G8" s="7" t="s">
        <v>180</v>
      </c>
      <c r="H8" s="7" t="s">
        <v>176</v>
      </c>
      <c r="I8" s="8"/>
      <c r="J8" s="9"/>
      <c r="M8" s="2">
        <v>4365</v>
      </c>
      <c r="O8" s="2">
        <v>2135</v>
      </c>
      <c r="Q8" s="2">
        <v>6500</v>
      </c>
    </row>
    <row r="9" spans="1:17">
      <c r="A9" t="s">
        <v>179</v>
      </c>
      <c r="B9" t="s">
        <v>176</v>
      </c>
      <c r="C9" s="1">
        <v>44533</v>
      </c>
      <c r="D9" s="2">
        <v>16</v>
      </c>
      <c r="G9" t="s">
        <v>181</v>
      </c>
      <c r="H9" t="s">
        <v>174</v>
      </c>
      <c r="I9" s="1">
        <v>44538</v>
      </c>
      <c r="J9" s="2">
        <v>2</v>
      </c>
    </row>
    <row r="10" spans="1:17">
      <c r="A10" t="s">
        <v>180</v>
      </c>
      <c r="B10" t="s">
        <v>176</v>
      </c>
      <c r="C10" s="1">
        <v>44533</v>
      </c>
      <c r="D10" s="2">
        <v>31</v>
      </c>
      <c r="G10" t="s">
        <v>182</v>
      </c>
      <c r="H10" t="s">
        <v>174</v>
      </c>
      <c r="I10" s="1">
        <v>44538</v>
      </c>
      <c r="J10" s="2">
        <v>2</v>
      </c>
    </row>
    <row r="11" spans="1:17">
      <c r="A11" t="s">
        <v>181</v>
      </c>
      <c r="B11" t="s">
        <v>176</v>
      </c>
      <c r="C11" s="1">
        <v>44533</v>
      </c>
      <c r="D11" s="2">
        <v>71</v>
      </c>
      <c r="G11" t="s">
        <v>183</v>
      </c>
      <c r="H11" t="s">
        <v>174</v>
      </c>
      <c r="I11" s="1">
        <v>44538</v>
      </c>
      <c r="J11" s="2">
        <v>2</v>
      </c>
    </row>
    <row r="12" spans="1:17">
      <c r="A12" t="s">
        <v>182</v>
      </c>
      <c r="B12" t="s">
        <v>176</v>
      </c>
      <c r="C12" s="1">
        <v>44533</v>
      </c>
      <c r="D12" s="2">
        <v>37</v>
      </c>
      <c r="G12" t="s">
        <v>184</v>
      </c>
      <c r="H12" t="s">
        <v>174</v>
      </c>
      <c r="I12" s="1">
        <v>44538</v>
      </c>
      <c r="J12" s="2">
        <v>2</v>
      </c>
    </row>
    <row r="13" spans="1:17">
      <c r="A13" t="s">
        <v>183</v>
      </c>
      <c r="B13" t="s">
        <v>176</v>
      </c>
      <c r="C13" s="1">
        <v>44533</v>
      </c>
      <c r="D13" s="2">
        <v>100</v>
      </c>
      <c r="G13" t="s">
        <v>188</v>
      </c>
      <c r="H13" t="s">
        <v>174</v>
      </c>
      <c r="I13" s="1">
        <v>44538</v>
      </c>
      <c r="J13" s="2">
        <v>2</v>
      </c>
    </row>
    <row r="14" spans="1:17">
      <c r="A14" t="s">
        <v>184</v>
      </c>
      <c r="B14" t="s">
        <v>176</v>
      </c>
      <c r="C14" s="1">
        <v>44533</v>
      </c>
      <c r="D14" s="2">
        <v>65</v>
      </c>
      <c r="G14" t="s">
        <v>180</v>
      </c>
      <c r="H14" t="s">
        <v>175</v>
      </c>
      <c r="I14" s="1">
        <v>44539</v>
      </c>
      <c r="J14" s="2">
        <v>1</v>
      </c>
    </row>
    <row r="15" spans="1:17">
      <c r="A15" t="s">
        <v>187</v>
      </c>
      <c r="B15" t="s">
        <v>176</v>
      </c>
      <c r="C15" s="1">
        <v>44533</v>
      </c>
      <c r="D15" s="2">
        <v>25</v>
      </c>
      <c r="G15" t="s">
        <v>182</v>
      </c>
      <c r="H15" t="s">
        <v>175</v>
      </c>
      <c r="I15" s="1">
        <v>44539</v>
      </c>
      <c r="J15" s="2">
        <v>2</v>
      </c>
    </row>
    <row r="16" spans="1:17">
      <c r="A16" t="s">
        <v>188</v>
      </c>
      <c r="B16" t="s">
        <v>176</v>
      </c>
      <c r="C16" s="1">
        <v>44533</v>
      </c>
      <c r="D16" s="2">
        <v>44</v>
      </c>
      <c r="G16" t="s">
        <v>183</v>
      </c>
      <c r="H16" t="s">
        <v>175</v>
      </c>
      <c r="I16" s="1">
        <v>44539</v>
      </c>
      <c r="J16" s="2">
        <v>2</v>
      </c>
    </row>
    <row r="17" spans="1:10">
      <c r="A17" t="s">
        <v>179</v>
      </c>
      <c r="B17" t="s">
        <v>173</v>
      </c>
      <c r="C17" s="1">
        <v>44537</v>
      </c>
      <c r="D17" s="2">
        <v>19</v>
      </c>
      <c r="G17" t="s">
        <v>184</v>
      </c>
      <c r="H17" t="s">
        <v>175</v>
      </c>
      <c r="I17" s="1">
        <v>44539</v>
      </c>
      <c r="J17" s="2">
        <v>2</v>
      </c>
    </row>
    <row r="18" spans="1:10">
      <c r="A18" t="s">
        <v>180</v>
      </c>
      <c r="B18" t="s">
        <v>173</v>
      </c>
      <c r="C18" s="1">
        <v>44537</v>
      </c>
      <c r="D18" s="2">
        <v>27</v>
      </c>
      <c r="G18" t="s">
        <v>183</v>
      </c>
      <c r="H18" t="s">
        <v>173</v>
      </c>
      <c r="I18" s="1">
        <v>44544</v>
      </c>
      <c r="J18" s="2">
        <v>1</v>
      </c>
    </row>
    <row r="19" spans="1:10">
      <c r="A19" t="s">
        <v>181</v>
      </c>
      <c r="B19" t="s">
        <v>173</v>
      </c>
      <c r="C19" s="1">
        <v>44537</v>
      </c>
      <c r="D19" s="2">
        <v>16</v>
      </c>
      <c r="G19" t="s">
        <v>179</v>
      </c>
      <c r="H19" t="s">
        <v>174</v>
      </c>
      <c r="I19" s="1">
        <v>44552</v>
      </c>
      <c r="J19" s="2">
        <v>1</v>
      </c>
    </row>
    <row r="20" spans="1:10">
      <c r="A20" t="s">
        <v>182</v>
      </c>
      <c r="B20" t="s">
        <v>173</v>
      </c>
      <c r="C20" s="1">
        <v>44537</v>
      </c>
      <c r="D20" s="2">
        <v>38</v>
      </c>
      <c r="G20" t="s">
        <v>181</v>
      </c>
      <c r="H20" t="s">
        <v>174</v>
      </c>
      <c r="I20" s="1">
        <v>44552</v>
      </c>
      <c r="J20" s="2">
        <v>2</v>
      </c>
    </row>
    <row r="21" spans="1:10">
      <c r="A21" t="s">
        <v>183</v>
      </c>
      <c r="B21" t="s">
        <v>173</v>
      </c>
      <c r="C21" s="1">
        <v>44537</v>
      </c>
      <c r="D21" s="2">
        <v>51</v>
      </c>
      <c r="G21" t="s">
        <v>187</v>
      </c>
      <c r="H21" t="s">
        <v>174</v>
      </c>
      <c r="I21" s="1">
        <v>44552</v>
      </c>
      <c r="J21" s="2">
        <v>1</v>
      </c>
    </row>
    <row r="22" spans="1:10">
      <c r="A22" t="s">
        <v>184</v>
      </c>
      <c r="B22" t="s">
        <v>173</v>
      </c>
      <c r="C22" s="1">
        <v>44537</v>
      </c>
      <c r="D22" s="2">
        <v>51</v>
      </c>
      <c r="G22" t="s">
        <v>180</v>
      </c>
      <c r="H22" t="s">
        <v>173</v>
      </c>
      <c r="I22" s="1">
        <v>44565</v>
      </c>
      <c r="J22" s="2">
        <v>3</v>
      </c>
    </row>
    <row r="23" spans="1:10">
      <c r="A23" t="s">
        <v>186</v>
      </c>
      <c r="B23" t="s">
        <v>173</v>
      </c>
      <c r="C23" s="1">
        <v>44537</v>
      </c>
      <c r="D23" s="2">
        <v>51</v>
      </c>
      <c r="G23" t="s">
        <v>181</v>
      </c>
      <c r="H23" t="s">
        <v>173</v>
      </c>
      <c r="I23" s="1">
        <v>44565</v>
      </c>
      <c r="J23" s="2">
        <v>1</v>
      </c>
    </row>
    <row r="24" spans="1:10">
      <c r="A24" t="s">
        <v>187</v>
      </c>
      <c r="B24" t="s">
        <v>173</v>
      </c>
      <c r="C24" s="1">
        <v>44537</v>
      </c>
      <c r="D24" s="2">
        <v>14</v>
      </c>
      <c r="G24" t="s">
        <v>182</v>
      </c>
      <c r="H24" t="s">
        <v>173</v>
      </c>
      <c r="I24" s="1">
        <v>44565</v>
      </c>
      <c r="J24" s="2">
        <v>3</v>
      </c>
    </row>
    <row r="25" spans="1:10">
      <c r="A25" t="s">
        <v>188</v>
      </c>
      <c r="B25" t="s">
        <v>173</v>
      </c>
      <c r="C25" s="1">
        <v>44537</v>
      </c>
      <c r="D25" s="2">
        <v>20</v>
      </c>
      <c r="G25" t="s">
        <v>183</v>
      </c>
      <c r="H25" t="s">
        <v>173</v>
      </c>
      <c r="I25" s="1">
        <v>44565</v>
      </c>
      <c r="J25" s="2">
        <v>3</v>
      </c>
    </row>
    <row r="26" spans="1:10">
      <c r="A26" t="s">
        <v>189</v>
      </c>
      <c r="B26" t="s">
        <v>173</v>
      </c>
      <c r="C26" s="1">
        <v>44537</v>
      </c>
      <c r="D26" s="2">
        <v>14</v>
      </c>
      <c r="G26" t="s">
        <v>184</v>
      </c>
      <c r="H26" t="s">
        <v>173</v>
      </c>
      <c r="I26" s="1">
        <v>44565</v>
      </c>
      <c r="J26" s="2">
        <v>3</v>
      </c>
    </row>
    <row r="27" spans="1:10">
      <c r="A27" t="s">
        <v>179</v>
      </c>
      <c r="B27" t="s">
        <v>175</v>
      </c>
      <c r="C27" s="1">
        <v>44539</v>
      </c>
      <c r="D27" s="2">
        <v>8</v>
      </c>
      <c r="G27" t="s">
        <v>187</v>
      </c>
      <c r="H27" t="s">
        <v>173</v>
      </c>
      <c r="I27" s="1">
        <v>44565</v>
      </c>
      <c r="J27" s="2">
        <v>1</v>
      </c>
    </row>
    <row r="28" spans="1:10">
      <c r="A28" t="s">
        <v>182</v>
      </c>
      <c r="B28" t="s">
        <v>175</v>
      </c>
      <c r="C28" s="1">
        <v>44539</v>
      </c>
      <c r="D28" s="2">
        <v>6</v>
      </c>
      <c r="G28" t="s">
        <v>188</v>
      </c>
      <c r="H28" t="s">
        <v>173</v>
      </c>
      <c r="I28" s="1">
        <v>44565</v>
      </c>
      <c r="J28" s="2">
        <v>3</v>
      </c>
    </row>
    <row r="29" spans="1:10">
      <c r="A29" t="s">
        <v>183</v>
      </c>
      <c r="B29" t="s">
        <v>175</v>
      </c>
      <c r="C29" s="1">
        <v>44539</v>
      </c>
      <c r="D29" s="2">
        <v>6</v>
      </c>
      <c r="G29" t="s">
        <v>179</v>
      </c>
      <c r="H29" t="s">
        <v>172</v>
      </c>
      <c r="I29" s="1">
        <v>44571</v>
      </c>
      <c r="J29" s="2">
        <v>1</v>
      </c>
    </row>
    <row r="30" spans="1:10">
      <c r="A30" t="s">
        <v>184</v>
      </c>
      <c r="B30" t="s">
        <v>175</v>
      </c>
      <c r="C30" s="1">
        <v>44539</v>
      </c>
      <c r="D30" s="2">
        <v>6</v>
      </c>
      <c r="G30" t="s">
        <v>182</v>
      </c>
      <c r="H30" t="s">
        <v>172</v>
      </c>
      <c r="I30" s="1">
        <v>44571</v>
      </c>
      <c r="J30" s="2">
        <v>1</v>
      </c>
    </row>
    <row r="31" spans="1:10">
      <c r="A31" t="s">
        <v>187</v>
      </c>
      <c r="B31" t="s">
        <v>175</v>
      </c>
      <c r="C31" s="1">
        <v>44539</v>
      </c>
      <c r="D31" s="2">
        <v>7</v>
      </c>
      <c r="G31" t="s">
        <v>183</v>
      </c>
      <c r="H31" t="s">
        <v>172</v>
      </c>
      <c r="I31" s="1">
        <v>44571</v>
      </c>
      <c r="J31" s="2">
        <v>1</v>
      </c>
    </row>
    <row r="32" spans="1:10">
      <c r="A32" t="s">
        <v>189</v>
      </c>
      <c r="B32" t="s">
        <v>175</v>
      </c>
      <c r="C32" s="1">
        <v>44539</v>
      </c>
      <c r="D32" s="2">
        <v>4</v>
      </c>
      <c r="G32" t="s">
        <v>184</v>
      </c>
      <c r="H32" t="s">
        <v>172</v>
      </c>
      <c r="I32" s="1">
        <v>44571</v>
      </c>
      <c r="J32" s="2">
        <v>1</v>
      </c>
    </row>
    <row r="33" spans="1:10">
      <c r="A33" t="s">
        <v>179</v>
      </c>
      <c r="B33" t="s">
        <v>176</v>
      </c>
      <c r="C33" s="1">
        <v>44540</v>
      </c>
      <c r="D33" s="2">
        <v>13</v>
      </c>
      <c r="G33" t="s">
        <v>186</v>
      </c>
      <c r="H33" t="s">
        <v>172</v>
      </c>
      <c r="I33" s="1">
        <v>44571</v>
      </c>
      <c r="J33" s="2">
        <v>1</v>
      </c>
    </row>
    <row r="34" spans="1:10">
      <c r="A34" t="s">
        <v>180</v>
      </c>
      <c r="B34" t="s">
        <v>176</v>
      </c>
      <c r="C34" s="1">
        <v>44540</v>
      </c>
      <c r="D34" s="2">
        <v>10</v>
      </c>
      <c r="G34" t="s">
        <v>189</v>
      </c>
      <c r="H34" t="s">
        <v>172</v>
      </c>
      <c r="I34" s="1">
        <v>44571</v>
      </c>
      <c r="J34" s="2">
        <v>1</v>
      </c>
    </row>
    <row r="35" spans="1:10">
      <c r="A35" t="s">
        <v>181</v>
      </c>
      <c r="B35" t="s">
        <v>176</v>
      </c>
      <c r="C35" s="1">
        <v>44540</v>
      </c>
      <c r="D35" s="2">
        <v>14</v>
      </c>
      <c r="G35" t="s">
        <v>183</v>
      </c>
      <c r="H35" t="s">
        <v>174</v>
      </c>
      <c r="I35" s="1">
        <v>44573</v>
      </c>
      <c r="J35" s="2">
        <v>1</v>
      </c>
    </row>
    <row r="36" spans="1:10">
      <c r="A36" t="s">
        <v>182</v>
      </c>
      <c r="B36" t="s">
        <v>176</v>
      </c>
      <c r="C36" s="1">
        <v>44540</v>
      </c>
      <c r="D36" s="2">
        <v>1</v>
      </c>
      <c r="G36" t="s">
        <v>184</v>
      </c>
      <c r="H36" t="s">
        <v>174</v>
      </c>
      <c r="I36" s="1">
        <v>44573</v>
      </c>
      <c r="J36" s="2">
        <v>1</v>
      </c>
    </row>
    <row r="37" spans="1:10">
      <c r="A37" t="s">
        <v>183</v>
      </c>
      <c r="B37" t="s">
        <v>176</v>
      </c>
      <c r="C37" s="1">
        <v>44540</v>
      </c>
      <c r="D37" s="2">
        <v>5</v>
      </c>
      <c r="G37" t="s">
        <v>186</v>
      </c>
      <c r="H37" t="s">
        <v>174</v>
      </c>
      <c r="I37" s="1">
        <v>44573</v>
      </c>
      <c r="J37" s="2">
        <v>1</v>
      </c>
    </row>
    <row r="38" spans="1:10">
      <c r="A38" t="s">
        <v>184</v>
      </c>
      <c r="B38" t="s">
        <v>176</v>
      </c>
      <c r="C38" s="1">
        <v>44540</v>
      </c>
      <c r="D38" s="2">
        <v>5</v>
      </c>
      <c r="G38" t="s">
        <v>179</v>
      </c>
      <c r="H38" t="s">
        <v>175</v>
      </c>
      <c r="I38" s="1">
        <v>44574</v>
      </c>
      <c r="J38" s="2">
        <v>5</v>
      </c>
    </row>
    <row r="39" spans="1:10">
      <c r="A39" t="s">
        <v>186</v>
      </c>
      <c r="B39" t="s">
        <v>176</v>
      </c>
      <c r="C39" s="1">
        <v>44540</v>
      </c>
      <c r="D39" s="2">
        <v>7</v>
      </c>
      <c r="G39" t="s">
        <v>180</v>
      </c>
      <c r="H39" t="s">
        <v>175</v>
      </c>
      <c r="I39" s="1">
        <v>44574</v>
      </c>
      <c r="J39" s="2">
        <v>4</v>
      </c>
    </row>
    <row r="40" spans="1:10">
      <c r="A40" t="s">
        <v>187</v>
      </c>
      <c r="B40" t="s">
        <v>176</v>
      </c>
      <c r="C40" s="1">
        <v>44540</v>
      </c>
      <c r="D40" s="2">
        <v>10</v>
      </c>
      <c r="G40" t="s">
        <v>181</v>
      </c>
      <c r="H40" t="s">
        <v>175</v>
      </c>
      <c r="I40" s="1">
        <v>44574</v>
      </c>
      <c r="J40" s="2">
        <v>3</v>
      </c>
    </row>
    <row r="41" spans="1:10">
      <c r="A41" t="s">
        <v>188</v>
      </c>
      <c r="B41" t="s">
        <v>176</v>
      </c>
      <c r="C41" s="1">
        <v>44540</v>
      </c>
      <c r="D41" s="2">
        <v>6</v>
      </c>
      <c r="G41" t="s">
        <v>183</v>
      </c>
      <c r="H41" t="s">
        <v>175</v>
      </c>
      <c r="I41" s="1">
        <v>44574</v>
      </c>
      <c r="J41" s="2">
        <v>2</v>
      </c>
    </row>
    <row r="42" spans="1:10">
      <c r="A42" t="s">
        <v>189</v>
      </c>
      <c r="B42" t="s">
        <v>176</v>
      </c>
      <c r="C42" s="1">
        <v>44540</v>
      </c>
      <c r="D42" s="2">
        <v>9</v>
      </c>
      <c r="G42" t="s">
        <v>184</v>
      </c>
      <c r="H42" t="s">
        <v>175</v>
      </c>
      <c r="I42" s="1">
        <v>44574</v>
      </c>
      <c r="J42" s="2">
        <v>1</v>
      </c>
    </row>
    <row r="43" spans="1:10">
      <c r="A43" t="s">
        <v>179</v>
      </c>
      <c r="B43" t="s">
        <v>177</v>
      </c>
      <c r="C43" s="1">
        <v>44541</v>
      </c>
      <c r="D43" s="2">
        <v>5</v>
      </c>
      <c r="G43" t="s">
        <v>187</v>
      </c>
      <c r="H43" t="s">
        <v>175</v>
      </c>
      <c r="I43" s="1">
        <v>44574</v>
      </c>
      <c r="J43" s="2">
        <v>4</v>
      </c>
    </row>
    <row r="44" spans="1:10">
      <c r="A44" t="s">
        <v>180</v>
      </c>
      <c r="B44" t="s">
        <v>177</v>
      </c>
      <c r="C44" s="1">
        <v>44541</v>
      </c>
      <c r="D44" s="2">
        <v>13</v>
      </c>
      <c r="G44" t="s">
        <v>188</v>
      </c>
      <c r="H44" t="s">
        <v>175</v>
      </c>
      <c r="I44" s="1">
        <v>44574</v>
      </c>
      <c r="J44" s="2">
        <v>1</v>
      </c>
    </row>
    <row r="45" spans="1:10">
      <c r="A45" t="s">
        <v>181</v>
      </c>
      <c r="B45" t="s">
        <v>177</v>
      </c>
      <c r="C45" s="1">
        <v>44541</v>
      </c>
      <c r="D45" s="2">
        <v>11</v>
      </c>
      <c r="G45" t="s">
        <v>189</v>
      </c>
      <c r="H45" t="s">
        <v>175</v>
      </c>
      <c r="I45" s="1">
        <v>44574</v>
      </c>
      <c r="J45" s="2">
        <v>4</v>
      </c>
    </row>
    <row r="46" spans="1:10">
      <c r="A46" t="s">
        <v>187</v>
      </c>
      <c r="B46" t="s">
        <v>177</v>
      </c>
      <c r="C46" s="1">
        <v>44541</v>
      </c>
      <c r="D46" s="2">
        <v>7</v>
      </c>
      <c r="G46" t="s">
        <v>179</v>
      </c>
      <c r="H46" t="s">
        <v>172</v>
      </c>
      <c r="I46" s="1">
        <v>44578</v>
      </c>
      <c r="J46" s="2">
        <v>8</v>
      </c>
    </row>
    <row r="47" spans="1:10">
      <c r="A47" t="s">
        <v>189</v>
      </c>
      <c r="B47" t="s">
        <v>177</v>
      </c>
      <c r="C47" s="1">
        <v>44541</v>
      </c>
      <c r="D47" s="2">
        <v>6</v>
      </c>
      <c r="G47" t="s">
        <v>180</v>
      </c>
      <c r="H47" t="s">
        <v>172</v>
      </c>
      <c r="I47" s="1">
        <v>44578</v>
      </c>
      <c r="J47" s="2">
        <v>5</v>
      </c>
    </row>
    <row r="48" spans="1:10">
      <c r="A48" t="s">
        <v>179</v>
      </c>
      <c r="B48" t="s">
        <v>173</v>
      </c>
      <c r="C48" s="1">
        <v>44544</v>
      </c>
      <c r="D48" s="2">
        <v>20</v>
      </c>
      <c r="G48" t="s">
        <v>181</v>
      </c>
      <c r="H48" t="s">
        <v>172</v>
      </c>
      <c r="I48" s="1">
        <v>44578</v>
      </c>
      <c r="J48" s="2">
        <v>4</v>
      </c>
    </row>
    <row r="49" spans="1:10">
      <c r="A49" t="s">
        <v>180</v>
      </c>
      <c r="B49" t="s">
        <v>173</v>
      </c>
      <c r="C49" s="1">
        <v>44544</v>
      </c>
      <c r="D49" s="2">
        <v>27</v>
      </c>
      <c r="G49" t="s">
        <v>182</v>
      </c>
      <c r="H49" t="s">
        <v>172</v>
      </c>
      <c r="I49" s="1">
        <v>44578</v>
      </c>
      <c r="J49" s="2">
        <v>3</v>
      </c>
    </row>
    <row r="50" spans="1:10">
      <c r="A50" t="s">
        <v>182</v>
      </c>
      <c r="B50" t="s">
        <v>173</v>
      </c>
      <c r="C50" s="1">
        <v>44544</v>
      </c>
      <c r="D50" s="2">
        <v>74</v>
      </c>
      <c r="G50" t="s">
        <v>183</v>
      </c>
      <c r="H50" t="s">
        <v>172</v>
      </c>
      <c r="I50" s="1">
        <v>44578</v>
      </c>
      <c r="J50" s="2">
        <v>7</v>
      </c>
    </row>
    <row r="51" spans="1:10">
      <c r="A51" t="s">
        <v>183</v>
      </c>
      <c r="B51" t="s">
        <v>173</v>
      </c>
      <c r="C51" s="1">
        <v>44544</v>
      </c>
      <c r="D51" s="2">
        <v>74</v>
      </c>
      <c r="G51" t="s">
        <v>184</v>
      </c>
      <c r="H51" t="s">
        <v>172</v>
      </c>
      <c r="I51" s="1">
        <v>44578</v>
      </c>
      <c r="J51" s="2">
        <v>6</v>
      </c>
    </row>
    <row r="52" spans="1:10">
      <c r="A52" t="s">
        <v>184</v>
      </c>
      <c r="B52" t="s">
        <v>173</v>
      </c>
      <c r="C52" s="1">
        <v>44544</v>
      </c>
      <c r="D52" s="2">
        <v>74</v>
      </c>
      <c r="G52" t="s">
        <v>187</v>
      </c>
      <c r="H52" t="s">
        <v>172</v>
      </c>
      <c r="I52" s="1">
        <v>44578</v>
      </c>
      <c r="J52" s="2">
        <v>8</v>
      </c>
    </row>
    <row r="53" spans="1:10">
      <c r="A53" t="s">
        <v>186</v>
      </c>
      <c r="B53" t="s">
        <v>173</v>
      </c>
      <c r="C53" s="1">
        <v>44544</v>
      </c>
      <c r="D53" s="2">
        <v>74</v>
      </c>
      <c r="G53" t="s">
        <v>188</v>
      </c>
      <c r="H53" t="s">
        <v>172</v>
      </c>
      <c r="I53" s="1">
        <v>44578</v>
      </c>
      <c r="J53" s="2">
        <v>3</v>
      </c>
    </row>
    <row r="54" spans="1:10">
      <c r="A54" t="s">
        <v>187</v>
      </c>
      <c r="B54" t="s">
        <v>173</v>
      </c>
      <c r="C54" s="1">
        <v>44544</v>
      </c>
      <c r="D54" s="2">
        <v>6</v>
      </c>
      <c r="G54" t="s">
        <v>189</v>
      </c>
      <c r="H54" t="s">
        <v>172</v>
      </c>
      <c r="I54" s="1">
        <v>44578</v>
      </c>
      <c r="J54" s="2">
        <v>6</v>
      </c>
    </row>
    <row r="55" spans="1:10">
      <c r="A55" t="s">
        <v>188</v>
      </c>
      <c r="B55" t="s">
        <v>173</v>
      </c>
      <c r="C55" s="1">
        <v>44544</v>
      </c>
      <c r="D55" s="2">
        <v>30</v>
      </c>
      <c r="G55" t="s">
        <v>179</v>
      </c>
      <c r="H55" t="s">
        <v>175</v>
      </c>
      <c r="I55" s="1">
        <v>44581</v>
      </c>
      <c r="J55" s="2">
        <v>2</v>
      </c>
    </row>
    <row r="56" spans="1:10">
      <c r="A56" t="s">
        <v>189</v>
      </c>
      <c r="B56" t="s">
        <v>173</v>
      </c>
      <c r="C56" s="1">
        <v>44544</v>
      </c>
      <c r="D56" s="2">
        <v>12</v>
      </c>
      <c r="G56" t="s">
        <v>180</v>
      </c>
      <c r="H56" t="s">
        <v>175</v>
      </c>
      <c r="I56" s="1">
        <v>44581</v>
      </c>
      <c r="J56" s="2">
        <v>8</v>
      </c>
    </row>
    <row r="57" spans="1:10">
      <c r="A57" t="s">
        <v>179</v>
      </c>
      <c r="B57" t="s">
        <v>174</v>
      </c>
      <c r="C57" s="1">
        <v>44545</v>
      </c>
      <c r="D57" s="2">
        <v>1</v>
      </c>
      <c r="G57" t="s">
        <v>181</v>
      </c>
      <c r="H57" t="s">
        <v>175</v>
      </c>
      <c r="I57" s="1">
        <v>44581</v>
      </c>
      <c r="J57" s="2">
        <v>8</v>
      </c>
    </row>
    <row r="58" spans="1:10">
      <c r="A58" t="s">
        <v>180</v>
      </c>
      <c r="B58" t="s">
        <v>174</v>
      </c>
      <c r="C58" s="1">
        <v>44545</v>
      </c>
      <c r="D58" s="2">
        <v>1</v>
      </c>
      <c r="G58" t="s">
        <v>183</v>
      </c>
      <c r="H58" t="s">
        <v>175</v>
      </c>
      <c r="I58" s="1">
        <v>44581</v>
      </c>
      <c r="J58" s="2">
        <v>3</v>
      </c>
    </row>
    <row r="59" spans="1:10">
      <c r="A59" t="s">
        <v>181</v>
      </c>
      <c r="B59" t="s">
        <v>174</v>
      </c>
      <c r="C59" s="1">
        <v>44545</v>
      </c>
      <c r="D59" s="2">
        <v>2</v>
      </c>
      <c r="G59" t="s">
        <v>184</v>
      </c>
      <c r="H59" t="s">
        <v>175</v>
      </c>
      <c r="I59" s="1">
        <v>44581</v>
      </c>
      <c r="J59" s="2">
        <v>3</v>
      </c>
    </row>
    <row r="60" spans="1:10">
      <c r="A60" t="s">
        <v>187</v>
      </c>
      <c r="B60" t="s">
        <v>174</v>
      </c>
      <c r="C60" s="1">
        <v>44545</v>
      </c>
      <c r="D60" s="2">
        <v>1</v>
      </c>
      <c r="G60" t="s">
        <v>187</v>
      </c>
      <c r="H60" t="s">
        <v>175</v>
      </c>
      <c r="I60" s="1">
        <v>44581</v>
      </c>
      <c r="J60" s="2">
        <v>3</v>
      </c>
    </row>
    <row r="61" spans="1:10">
      <c r="A61" t="s">
        <v>189</v>
      </c>
      <c r="B61" t="s">
        <v>174</v>
      </c>
      <c r="C61" s="1">
        <v>44545</v>
      </c>
      <c r="D61" s="2">
        <v>1</v>
      </c>
      <c r="G61" t="s">
        <v>188</v>
      </c>
      <c r="H61" t="s">
        <v>175</v>
      </c>
      <c r="I61" s="1">
        <v>44581</v>
      </c>
      <c r="J61" s="2">
        <v>7</v>
      </c>
    </row>
    <row r="62" spans="1:10">
      <c r="A62" t="s">
        <v>179</v>
      </c>
      <c r="B62" t="s">
        <v>176</v>
      </c>
      <c r="C62" s="1">
        <v>44547</v>
      </c>
      <c r="D62" s="2">
        <v>69</v>
      </c>
      <c r="G62" t="s">
        <v>189</v>
      </c>
      <c r="H62" t="s">
        <v>175</v>
      </c>
      <c r="I62" s="1">
        <v>44581</v>
      </c>
      <c r="J62" s="2">
        <v>2</v>
      </c>
    </row>
    <row r="63" spans="1:10">
      <c r="A63" t="s">
        <v>180</v>
      </c>
      <c r="B63" t="s">
        <v>176</v>
      </c>
      <c r="C63" s="1">
        <v>44547</v>
      </c>
      <c r="D63" s="2">
        <v>143</v>
      </c>
      <c r="G63" t="s">
        <v>181</v>
      </c>
      <c r="H63" t="s">
        <v>173</v>
      </c>
      <c r="I63" s="1">
        <v>44586</v>
      </c>
      <c r="J63" s="2">
        <v>1</v>
      </c>
    </row>
    <row r="64" spans="1:10">
      <c r="A64" t="s">
        <v>181</v>
      </c>
      <c r="B64" t="s">
        <v>176</v>
      </c>
      <c r="C64" s="1">
        <v>44547</v>
      </c>
      <c r="D64" s="2">
        <v>114</v>
      </c>
      <c r="G64" t="s">
        <v>182</v>
      </c>
      <c r="H64" t="s">
        <v>173</v>
      </c>
      <c r="I64" s="1">
        <v>44586</v>
      </c>
      <c r="J64" s="2">
        <v>3</v>
      </c>
    </row>
    <row r="65" spans="1:10">
      <c r="A65" t="s">
        <v>182</v>
      </c>
      <c r="B65" t="s">
        <v>176</v>
      </c>
      <c r="C65" s="1">
        <v>44547</v>
      </c>
      <c r="D65" s="2">
        <v>36</v>
      </c>
      <c r="G65" t="s">
        <v>183</v>
      </c>
      <c r="H65" t="s">
        <v>173</v>
      </c>
      <c r="I65" s="1">
        <v>44586</v>
      </c>
      <c r="J65" s="2">
        <v>5</v>
      </c>
    </row>
    <row r="66" spans="1:10">
      <c r="A66" t="s">
        <v>183</v>
      </c>
      <c r="B66" t="s">
        <v>176</v>
      </c>
      <c r="C66" s="1">
        <v>44547</v>
      </c>
      <c r="D66" s="2">
        <v>129</v>
      </c>
      <c r="G66" t="s">
        <v>184</v>
      </c>
      <c r="H66" t="s">
        <v>173</v>
      </c>
      <c r="I66" s="1">
        <v>44586</v>
      </c>
      <c r="J66" s="2">
        <v>4</v>
      </c>
    </row>
    <row r="67" spans="1:10">
      <c r="A67" t="s">
        <v>184</v>
      </c>
      <c r="B67" t="s">
        <v>176</v>
      </c>
      <c r="C67" s="1">
        <v>44547</v>
      </c>
      <c r="D67" s="2">
        <v>79</v>
      </c>
      <c r="G67" t="s">
        <v>180</v>
      </c>
      <c r="H67" t="s">
        <v>175</v>
      </c>
      <c r="I67" s="1">
        <v>44588</v>
      </c>
      <c r="J67" s="2">
        <v>2</v>
      </c>
    </row>
    <row r="68" spans="1:10">
      <c r="A68" t="s">
        <v>187</v>
      </c>
      <c r="B68" t="s">
        <v>176</v>
      </c>
      <c r="C68" s="1">
        <v>44547</v>
      </c>
      <c r="D68" s="2">
        <v>91</v>
      </c>
      <c r="G68" t="s">
        <v>188</v>
      </c>
      <c r="H68" t="s">
        <v>175</v>
      </c>
      <c r="I68" s="1">
        <v>44588</v>
      </c>
      <c r="J68" s="2">
        <v>2</v>
      </c>
    </row>
    <row r="69" spans="1:10">
      <c r="A69" t="s">
        <v>188</v>
      </c>
      <c r="B69" t="s">
        <v>176</v>
      </c>
      <c r="C69" s="1">
        <v>44547</v>
      </c>
      <c r="D69" s="2">
        <v>92</v>
      </c>
      <c r="G69" t="s">
        <v>181</v>
      </c>
      <c r="H69" t="s">
        <v>173</v>
      </c>
      <c r="I69" s="1">
        <v>44593</v>
      </c>
      <c r="J69" s="2">
        <v>2</v>
      </c>
    </row>
    <row r="70" spans="1:10">
      <c r="A70" t="s">
        <v>189</v>
      </c>
      <c r="B70" t="s">
        <v>176</v>
      </c>
      <c r="C70" s="1">
        <v>44547</v>
      </c>
      <c r="D70" s="2">
        <v>33</v>
      </c>
      <c r="G70" t="s">
        <v>179</v>
      </c>
      <c r="H70" t="s">
        <v>174</v>
      </c>
      <c r="I70" s="1">
        <v>44594</v>
      </c>
      <c r="J70" s="2">
        <v>1</v>
      </c>
    </row>
    <row r="71" spans="1:10">
      <c r="A71" t="s">
        <v>179</v>
      </c>
      <c r="B71" t="s">
        <v>173</v>
      </c>
      <c r="C71" s="1">
        <v>44551</v>
      </c>
      <c r="D71" s="2">
        <v>54</v>
      </c>
      <c r="G71" t="s">
        <v>187</v>
      </c>
      <c r="H71" t="s">
        <v>174</v>
      </c>
      <c r="I71" s="1">
        <v>44594</v>
      </c>
      <c r="J71" s="2">
        <v>1</v>
      </c>
    </row>
    <row r="72" spans="1:10">
      <c r="A72" t="s">
        <v>180</v>
      </c>
      <c r="B72" t="s">
        <v>173</v>
      </c>
      <c r="C72" s="1">
        <v>44551</v>
      </c>
      <c r="D72" s="2">
        <v>118</v>
      </c>
      <c r="G72" t="s">
        <v>179</v>
      </c>
      <c r="H72" t="s">
        <v>175</v>
      </c>
      <c r="I72" s="1">
        <v>44595</v>
      </c>
      <c r="J72" s="2">
        <v>2</v>
      </c>
    </row>
    <row r="73" spans="1:10">
      <c r="A73" t="s">
        <v>181</v>
      </c>
      <c r="B73" t="s">
        <v>173</v>
      </c>
      <c r="C73" s="1">
        <v>44551</v>
      </c>
      <c r="D73" s="2">
        <v>56</v>
      </c>
      <c r="G73" t="s">
        <v>180</v>
      </c>
      <c r="H73" t="s">
        <v>175</v>
      </c>
      <c r="I73" s="1">
        <v>44595</v>
      </c>
      <c r="J73" s="2">
        <v>2</v>
      </c>
    </row>
    <row r="74" spans="1:10">
      <c r="A74" t="s">
        <v>182</v>
      </c>
      <c r="B74" t="s">
        <v>173</v>
      </c>
      <c r="C74" s="1">
        <v>44551</v>
      </c>
      <c r="D74" s="2">
        <v>82</v>
      </c>
      <c r="G74" t="s">
        <v>181</v>
      </c>
      <c r="H74" t="s">
        <v>175</v>
      </c>
      <c r="I74" s="1">
        <v>44595</v>
      </c>
      <c r="J74" s="2">
        <v>1</v>
      </c>
    </row>
    <row r="75" spans="1:10">
      <c r="A75" t="s">
        <v>183</v>
      </c>
      <c r="B75" t="s">
        <v>173</v>
      </c>
      <c r="C75" s="1">
        <v>44551</v>
      </c>
      <c r="D75" s="2">
        <v>160</v>
      </c>
      <c r="G75" t="s">
        <v>183</v>
      </c>
      <c r="H75" t="s">
        <v>175</v>
      </c>
      <c r="I75" s="1">
        <v>44595</v>
      </c>
      <c r="J75" s="2">
        <v>2</v>
      </c>
    </row>
    <row r="76" spans="1:10">
      <c r="A76" t="s">
        <v>184</v>
      </c>
      <c r="B76" t="s">
        <v>173</v>
      </c>
      <c r="C76" s="1">
        <v>44551</v>
      </c>
      <c r="D76" s="2">
        <v>116</v>
      </c>
      <c r="G76" t="s">
        <v>187</v>
      </c>
      <c r="H76" t="s">
        <v>175</v>
      </c>
      <c r="I76" s="1">
        <v>44595</v>
      </c>
      <c r="J76" s="2">
        <v>2</v>
      </c>
    </row>
    <row r="77" spans="1:10">
      <c r="A77" t="s">
        <v>186</v>
      </c>
      <c r="B77" t="s">
        <v>173</v>
      </c>
      <c r="C77" s="1">
        <v>44551</v>
      </c>
      <c r="D77" s="2">
        <v>167</v>
      </c>
      <c r="G77" t="s">
        <v>188</v>
      </c>
      <c r="H77" t="s">
        <v>175</v>
      </c>
      <c r="I77" s="1">
        <v>44595</v>
      </c>
      <c r="J77" s="2">
        <v>2</v>
      </c>
    </row>
    <row r="78" spans="1:10">
      <c r="A78" t="s">
        <v>187</v>
      </c>
      <c r="B78" t="s">
        <v>173</v>
      </c>
      <c r="C78" s="1">
        <v>44551</v>
      </c>
      <c r="D78" s="2">
        <v>56</v>
      </c>
      <c r="G78" t="s">
        <v>189</v>
      </c>
      <c r="H78" t="s">
        <v>175</v>
      </c>
      <c r="I78" s="1">
        <v>44595</v>
      </c>
      <c r="J78" s="2">
        <v>26</v>
      </c>
    </row>
    <row r="79" spans="1:10">
      <c r="A79" t="s">
        <v>188</v>
      </c>
      <c r="B79" t="s">
        <v>173</v>
      </c>
      <c r="C79" s="1">
        <v>44551</v>
      </c>
      <c r="D79" s="2">
        <v>78</v>
      </c>
      <c r="I79" s="1"/>
      <c r="J79" s="2"/>
    </row>
    <row r="80" spans="1:10">
      <c r="A80" t="s">
        <v>189</v>
      </c>
      <c r="B80" t="s">
        <v>173</v>
      </c>
      <c r="C80" s="1">
        <v>44551</v>
      </c>
      <c r="D80" s="2">
        <v>33</v>
      </c>
      <c r="I80" s="1"/>
      <c r="J80" s="2"/>
    </row>
    <row r="81" spans="1:10">
      <c r="A81" t="s">
        <v>180</v>
      </c>
      <c r="B81" t="s">
        <v>174</v>
      </c>
      <c r="C81" s="1">
        <v>44552</v>
      </c>
      <c r="D81" s="2">
        <v>16</v>
      </c>
      <c r="I81" s="1"/>
      <c r="J81" s="2"/>
    </row>
    <row r="82" spans="1:10">
      <c r="A82" t="s">
        <v>182</v>
      </c>
      <c r="B82" t="s">
        <v>174</v>
      </c>
      <c r="C82" s="1">
        <v>44552</v>
      </c>
      <c r="D82" s="2">
        <v>14</v>
      </c>
      <c r="I82" s="1"/>
      <c r="J82" s="2"/>
    </row>
    <row r="83" spans="1:10">
      <c r="A83" t="s">
        <v>183</v>
      </c>
      <c r="B83" t="s">
        <v>174</v>
      </c>
      <c r="C83" s="1">
        <v>44552</v>
      </c>
      <c r="D83" s="2">
        <v>32</v>
      </c>
      <c r="I83" s="1"/>
      <c r="J83" s="2"/>
    </row>
    <row r="84" spans="1:10">
      <c r="A84" t="s">
        <v>184</v>
      </c>
      <c r="B84" t="s">
        <v>174</v>
      </c>
      <c r="C84" s="1">
        <v>44552</v>
      </c>
      <c r="D84" s="2">
        <v>17</v>
      </c>
      <c r="I84" s="1"/>
      <c r="J84" s="2"/>
    </row>
    <row r="85" spans="1:10">
      <c r="A85" t="s">
        <v>186</v>
      </c>
      <c r="B85" t="s">
        <v>174</v>
      </c>
      <c r="C85" s="1">
        <v>44552</v>
      </c>
      <c r="D85" s="2">
        <v>29</v>
      </c>
      <c r="I85" s="1"/>
      <c r="J85" s="2"/>
    </row>
    <row r="86" spans="1:10">
      <c r="A86" t="s">
        <v>185</v>
      </c>
      <c r="B86" t="s">
        <v>173</v>
      </c>
      <c r="C86" s="1">
        <v>44565</v>
      </c>
      <c r="D86" s="2">
        <v>14</v>
      </c>
      <c r="I86" s="1"/>
      <c r="J86" s="2"/>
    </row>
    <row r="87" spans="1:10">
      <c r="A87" t="s">
        <v>182</v>
      </c>
      <c r="B87" t="s">
        <v>174</v>
      </c>
      <c r="C87" s="1">
        <v>44566</v>
      </c>
      <c r="D87" s="2">
        <v>2</v>
      </c>
      <c r="I87" s="1"/>
      <c r="J87" s="2"/>
    </row>
    <row r="88" spans="1:10">
      <c r="A88" t="s">
        <v>183</v>
      </c>
      <c r="B88" t="s">
        <v>174</v>
      </c>
      <c r="C88" s="1">
        <v>44566</v>
      </c>
      <c r="D88" s="2">
        <v>2</v>
      </c>
      <c r="I88" s="1"/>
      <c r="J88" s="2"/>
    </row>
    <row r="89" spans="1:10">
      <c r="A89" t="s">
        <v>184</v>
      </c>
      <c r="B89" t="s">
        <v>174</v>
      </c>
      <c r="C89" s="1">
        <v>44566</v>
      </c>
      <c r="D89" s="2">
        <v>2</v>
      </c>
      <c r="I89" s="1"/>
      <c r="J89" s="2"/>
    </row>
    <row r="90" spans="1:10">
      <c r="A90" t="s">
        <v>186</v>
      </c>
      <c r="B90" t="s">
        <v>174</v>
      </c>
      <c r="C90" s="1">
        <v>44566</v>
      </c>
      <c r="D90" s="2">
        <v>2</v>
      </c>
      <c r="I90" s="1"/>
      <c r="J90" s="2"/>
    </row>
    <row r="91" spans="1:10">
      <c r="A91" t="s">
        <v>186</v>
      </c>
      <c r="B91" t="s">
        <v>176</v>
      </c>
      <c r="C91" s="1">
        <v>44568</v>
      </c>
      <c r="D91" s="2">
        <v>4</v>
      </c>
      <c r="I91" s="1"/>
      <c r="J91" s="2"/>
    </row>
    <row r="92" spans="1:10">
      <c r="A92" t="s">
        <v>179</v>
      </c>
      <c r="B92" t="s">
        <v>173</v>
      </c>
      <c r="C92" s="1">
        <v>44572</v>
      </c>
      <c r="D92" s="2">
        <v>7</v>
      </c>
      <c r="I92" s="1"/>
      <c r="J92" s="2"/>
    </row>
    <row r="93" spans="1:10">
      <c r="A93" t="s">
        <v>180</v>
      </c>
      <c r="B93" t="s">
        <v>173</v>
      </c>
      <c r="C93" s="1">
        <v>44572</v>
      </c>
      <c r="D93" s="2">
        <v>16</v>
      </c>
      <c r="I93" s="1"/>
      <c r="J93" s="2"/>
    </row>
    <row r="94" spans="1:10">
      <c r="A94" t="s">
        <v>182</v>
      </c>
      <c r="B94" t="s">
        <v>173</v>
      </c>
      <c r="C94" s="1">
        <v>44572</v>
      </c>
      <c r="D94" s="2">
        <v>16</v>
      </c>
      <c r="I94" s="1"/>
      <c r="J94" s="2"/>
    </row>
    <row r="95" spans="1:10">
      <c r="A95" t="s">
        <v>183</v>
      </c>
      <c r="B95" t="s">
        <v>173</v>
      </c>
      <c r="C95" s="1">
        <v>44572</v>
      </c>
      <c r="D95" s="2">
        <v>25</v>
      </c>
      <c r="I95" s="1"/>
      <c r="J95" s="2"/>
    </row>
    <row r="96" spans="1:10">
      <c r="A96" t="s">
        <v>184</v>
      </c>
      <c r="B96" t="s">
        <v>173</v>
      </c>
      <c r="C96" s="1">
        <v>44572</v>
      </c>
      <c r="D96" s="2">
        <v>13</v>
      </c>
      <c r="I96" s="1"/>
      <c r="J96" s="2"/>
    </row>
    <row r="97" spans="1:10">
      <c r="A97" t="s">
        <v>186</v>
      </c>
      <c r="B97" t="s">
        <v>173</v>
      </c>
      <c r="C97" s="1">
        <v>44572</v>
      </c>
      <c r="D97" s="2">
        <v>25</v>
      </c>
      <c r="I97" s="1"/>
      <c r="J97" s="2"/>
    </row>
    <row r="98" spans="1:10">
      <c r="A98" t="s">
        <v>187</v>
      </c>
      <c r="B98" t="s">
        <v>173</v>
      </c>
      <c r="C98" s="1">
        <v>44572</v>
      </c>
      <c r="D98" s="2">
        <v>6</v>
      </c>
    </row>
    <row r="99" spans="1:10">
      <c r="A99" t="s">
        <v>188</v>
      </c>
      <c r="B99" t="s">
        <v>173</v>
      </c>
      <c r="C99" s="1">
        <v>44572</v>
      </c>
      <c r="D99" s="2">
        <v>16</v>
      </c>
    </row>
    <row r="100" spans="1:10">
      <c r="A100" t="s">
        <v>189</v>
      </c>
      <c r="B100" t="s">
        <v>173</v>
      </c>
      <c r="C100" s="1">
        <v>44572</v>
      </c>
      <c r="D100" s="2">
        <v>7</v>
      </c>
    </row>
    <row r="101" spans="1:10">
      <c r="A101" t="s">
        <v>179</v>
      </c>
      <c r="B101" t="s">
        <v>174</v>
      </c>
      <c r="C101" s="1">
        <v>44573</v>
      </c>
      <c r="D101" s="2">
        <v>35</v>
      </c>
    </row>
    <row r="102" spans="1:10">
      <c r="A102" t="s">
        <v>180</v>
      </c>
      <c r="B102" t="s">
        <v>174</v>
      </c>
      <c r="C102" s="1">
        <v>44573</v>
      </c>
      <c r="D102" s="2">
        <v>69</v>
      </c>
    </row>
    <row r="103" spans="1:10">
      <c r="A103" t="s">
        <v>181</v>
      </c>
      <c r="B103" t="s">
        <v>174</v>
      </c>
      <c r="C103" s="1">
        <v>44573</v>
      </c>
      <c r="D103" s="2">
        <v>56</v>
      </c>
    </row>
    <row r="104" spans="1:10">
      <c r="A104" t="s">
        <v>182</v>
      </c>
      <c r="B104" t="s">
        <v>174</v>
      </c>
      <c r="C104" s="1">
        <v>44573</v>
      </c>
      <c r="D104" s="2">
        <v>15</v>
      </c>
    </row>
    <row r="105" spans="1:10">
      <c r="A105" t="s">
        <v>183</v>
      </c>
      <c r="B105" t="s">
        <v>174</v>
      </c>
      <c r="C105" s="1">
        <v>44573</v>
      </c>
      <c r="D105" s="2">
        <v>34</v>
      </c>
    </row>
    <row r="106" spans="1:10">
      <c r="A106" t="s">
        <v>184</v>
      </c>
      <c r="B106" t="s">
        <v>174</v>
      </c>
      <c r="C106" s="1">
        <v>44573</v>
      </c>
      <c r="D106" s="2">
        <v>26</v>
      </c>
    </row>
    <row r="107" spans="1:10">
      <c r="A107" t="s">
        <v>187</v>
      </c>
      <c r="B107" t="s">
        <v>174</v>
      </c>
      <c r="C107" s="1">
        <v>44573</v>
      </c>
      <c r="D107" s="2">
        <v>44</v>
      </c>
    </row>
    <row r="108" spans="1:10">
      <c r="A108" t="s">
        <v>188</v>
      </c>
      <c r="B108" t="s">
        <v>174</v>
      </c>
      <c r="C108" s="1">
        <v>44573</v>
      </c>
      <c r="D108" s="2">
        <v>42</v>
      </c>
    </row>
    <row r="109" spans="1:10">
      <c r="A109" t="s">
        <v>189</v>
      </c>
      <c r="B109" t="s">
        <v>174</v>
      </c>
      <c r="C109" s="1">
        <v>44573</v>
      </c>
      <c r="D109" s="2">
        <v>13</v>
      </c>
    </row>
    <row r="110" spans="1:10">
      <c r="A110" t="s">
        <v>180</v>
      </c>
      <c r="B110" t="s">
        <v>176</v>
      </c>
      <c r="C110" s="1">
        <v>44575</v>
      </c>
      <c r="D110" s="2">
        <v>1</v>
      </c>
    </row>
    <row r="111" spans="1:10">
      <c r="A111" t="s">
        <v>181</v>
      </c>
      <c r="B111" t="s">
        <v>176</v>
      </c>
      <c r="C111" s="1">
        <v>44575</v>
      </c>
      <c r="D111" s="2">
        <v>2</v>
      </c>
    </row>
    <row r="112" spans="1:10">
      <c r="A112" t="s">
        <v>188</v>
      </c>
      <c r="B112" t="s">
        <v>176</v>
      </c>
      <c r="C112" s="1">
        <v>44575</v>
      </c>
      <c r="D112" s="2">
        <v>4</v>
      </c>
    </row>
    <row r="113" spans="1:4">
      <c r="A113" t="s">
        <v>179</v>
      </c>
      <c r="B113" t="s">
        <v>173</v>
      </c>
      <c r="C113" s="1">
        <v>44579</v>
      </c>
      <c r="D113" s="2">
        <v>5</v>
      </c>
    </row>
    <row r="114" spans="1:4">
      <c r="A114" t="s">
        <v>180</v>
      </c>
      <c r="B114" t="s">
        <v>173</v>
      </c>
      <c r="C114" s="1">
        <v>44579</v>
      </c>
      <c r="D114" s="2">
        <v>2</v>
      </c>
    </row>
    <row r="115" spans="1:4">
      <c r="A115" t="s">
        <v>181</v>
      </c>
      <c r="B115" t="s">
        <v>173</v>
      </c>
      <c r="C115" s="1">
        <v>44579</v>
      </c>
      <c r="D115" s="2">
        <v>5</v>
      </c>
    </row>
    <row r="116" spans="1:4">
      <c r="A116" t="s">
        <v>182</v>
      </c>
      <c r="B116" t="s">
        <v>173</v>
      </c>
      <c r="C116" s="1">
        <v>44579</v>
      </c>
      <c r="D116" s="2">
        <v>18</v>
      </c>
    </row>
    <row r="117" spans="1:4">
      <c r="A117" t="s">
        <v>183</v>
      </c>
      <c r="B117" t="s">
        <v>173</v>
      </c>
      <c r="C117" s="1">
        <v>44579</v>
      </c>
      <c r="D117" s="2">
        <v>18</v>
      </c>
    </row>
    <row r="118" spans="1:4">
      <c r="A118" t="s">
        <v>184</v>
      </c>
      <c r="B118" t="s">
        <v>173</v>
      </c>
      <c r="C118" s="1">
        <v>44579</v>
      </c>
      <c r="D118" s="2">
        <v>18</v>
      </c>
    </row>
    <row r="119" spans="1:4">
      <c r="A119" t="s">
        <v>187</v>
      </c>
      <c r="B119" t="s">
        <v>173</v>
      </c>
      <c r="C119" s="1">
        <v>44579</v>
      </c>
      <c r="D119" s="2">
        <v>4</v>
      </c>
    </row>
    <row r="120" spans="1:4">
      <c r="A120" t="s">
        <v>188</v>
      </c>
      <c r="B120" t="s">
        <v>173</v>
      </c>
      <c r="C120" s="1">
        <v>44579</v>
      </c>
      <c r="D120" s="2">
        <v>5</v>
      </c>
    </row>
    <row r="121" spans="1:4">
      <c r="A121" t="s">
        <v>189</v>
      </c>
      <c r="B121" t="s">
        <v>173</v>
      </c>
      <c r="C121" s="1">
        <v>44579</v>
      </c>
      <c r="D121" s="2">
        <v>6</v>
      </c>
    </row>
    <row r="122" spans="1:4">
      <c r="A122" t="s">
        <v>179</v>
      </c>
      <c r="B122" t="s">
        <v>174</v>
      </c>
      <c r="C122" s="1">
        <v>44580</v>
      </c>
      <c r="D122" s="2">
        <v>4</v>
      </c>
    </row>
    <row r="123" spans="1:4">
      <c r="A123" t="s">
        <v>180</v>
      </c>
      <c r="B123" t="s">
        <v>174</v>
      </c>
      <c r="C123" s="1">
        <v>44580</v>
      </c>
      <c r="D123" s="2">
        <v>15</v>
      </c>
    </row>
    <row r="124" spans="1:4">
      <c r="A124" t="s">
        <v>181</v>
      </c>
      <c r="B124" t="s">
        <v>174</v>
      </c>
      <c r="C124" s="1">
        <v>44580</v>
      </c>
      <c r="D124" s="2">
        <v>13</v>
      </c>
    </row>
    <row r="125" spans="1:4">
      <c r="A125" t="s">
        <v>182</v>
      </c>
      <c r="B125" t="s">
        <v>174</v>
      </c>
      <c r="C125" s="1">
        <v>44580</v>
      </c>
      <c r="D125" s="2">
        <v>3</v>
      </c>
    </row>
    <row r="126" spans="1:4">
      <c r="A126" t="s">
        <v>183</v>
      </c>
      <c r="B126" t="s">
        <v>174</v>
      </c>
      <c r="C126" s="1">
        <v>44580</v>
      </c>
      <c r="D126" s="2">
        <v>2</v>
      </c>
    </row>
    <row r="127" spans="1:4">
      <c r="A127" t="s">
        <v>184</v>
      </c>
      <c r="B127" t="s">
        <v>174</v>
      </c>
      <c r="C127" s="1">
        <v>44580</v>
      </c>
      <c r="D127" s="2">
        <v>2</v>
      </c>
    </row>
    <row r="128" spans="1:4">
      <c r="A128" t="s">
        <v>187</v>
      </c>
      <c r="B128" t="s">
        <v>174</v>
      </c>
      <c r="C128" s="1">
        <v>44580</v>
      </c>
      <c r="D128" s="2">
        <v>2</v>
      </c>
    </row>
    <row r="129" spans="1:4">
      <c r="A129" t="s">
        <v>179</v>
      </c>
      <c r="B129" t="s">
        <v>176</v>
      </c>
      <c r="C129" s="1">
        <v>44582</v>
      </c>
      <c r="D129" s="2">
        <v>32</v>
      </c>
    </row>
    <row r="130" spans="1:4">
      <c r="A130" t="s">
        <v>180</v>
      </c>
      <c r="B130" t="s">
        <v>176</v>
      </c>
      <c r="C130" s="1">
        <v>44582</v>
      </c>
      <c r="D130" s="2">
        <v>70</v>
      </c>
    </row>
    <row r="131" spans="1:4">
      <c r="A131" t="s">
        <v>181</v>
      </c>
      <c r="B131" t="s">
        <v>176</v>
      </c>
      <c r="C131" s="1">
        <v>44582</v>
      </c>
      <c r="D131" s="2">
        <v>68</v>
      </c>
    </row>
    <row r="132" spans="1:4">
      <c r="A132" t="s">
        <v>182</v>
      </c>
      <c r="B132" t="s">
        <v>176</v>
      </c>
      <c r="C132" s="1">
        <v>44582</v>
      </c>
      <c r="D132" s="2">
        <v>31</v>
      </c>
    </row>
    <row r="133" spans="1:4">
      <c r="A133" t="s">
        <v>183</v>
      </c>
      <c r="B133" t="s">
        <v>176</v>
      </c>
      <c r="C133" s="1">
        <v>44582</v>
      </c>
      <c r="D133" s="2">
        <v>77</v>
      </c>
    </row>
    <row r="134" spans="1:4">
      <c r="A134" t="s">
        <v>184</v>
      </c>
      <c r="B134" t="s">
        <v>176</v>
      </c>
      <c r="C134" s="1">
        <v>44582</v>
      </c>
      <c r="D134" s="2">
        <v>47</v>
      </c>
    </row>
    <row r="135" spans="1:4">
      <c r="A135" t="s">
        <v>187</v>
      </c>
      <c r="B135" t="s">
        <v>176</v>
      </c>
      <c r="C135" s="1">
        <v>44582</v>
      </c>
      <c r="D135" s="2">
        <v>31</v>
      </c>
    </row>
    <row r="136" spans="1:4">
      <c r="A136" t="s">
        <v>188</v>
      </c>
      <c r="B136" t="s">
        <v>176</v>
      </c>
      <c r="C136" s="1">
        <v>44582</v>
      </c>
      <c r="D136" s="2">
        <v>44</v>
      </c>
    </row>
    <row r="137" spans="1:4">
      <c r="A137" t="s">
        <v>189</v>
      </c>
      <c r="B137" t="s">
        <v>176</v>
      </c>
      <c r="C137" s="1">
        <v>44582</v>
      </c>
      <c r="D137" s="2">
        <v>9</v>
      </c>
    </row>
    <row r="138" spans="1:4">
      <c r="A138" t="s">
        <v>179</v>
      </c>
      <c r="B138" t="s">
        <v>174</v>
      </c>
      <c r="C138" s="1">
        <v>44587</v>
      </c>
      <c r="D138" s="2">
        <v>6</v>
      </c>
    </row>
    <row r="139" spans="1:4">
      <c r="A139" t="s">
        <v>180</v>
      </c>
      <c r="B139" t="s">
        <v>174</v>
      </c>
      <c r="C139" s="1">
        <v>44587</v>
      </c>
      <c r="D139" s="2">
        <v>7</v>
      </c>
    </row>
    <row r="140" spans="1:4">
      <c r="A140" t="s">
        <v>181</v>
      </c>
      <c r="B140" t="s">
        <v>174</v>
      </c>
      <c r="C140" s="1">
        <v>44587</v>
      </c>
      <c r="D140" s="2">
        <v>2</v>
      </c>
    </row>
    <row r="141" spans="1:4">
      <c r="A141" t="s">
        <v>182</v>
      </c>
      <c r="B141" t="s">
        <v>174</v>
      </c>
      <c r="C141" s="1">
        <v>44587</v>
      </c>
      <c r="D141" s="2">
        <v>5</v>
      </c>
    </row>
    <row r="142" spans="1:4">
      <c r="A142" t="s">
        <v>183</v>
      </c>
      <c r="B142" t="s">
        <v>174</v>
      </c>
      <c r="C142" s="1">
        <v>44587</v>
      </c>
      <c r="D142" s="2">
        <v>5</v>
      </c>
    </row>
    <row r="143" spans="1:4">
      <c r="A143" t="s">
        <v>184</v>
      </c>
      <c r="B143" t="s">
        <v>174</v>
      </c>
      <c r="C143" s="1">
        <v>44587</v>
      </c>
      <c r="D143" s="2">
        <v>5</v>
      </c>
    </row>
    <row r="144" spans="1:4">
      <c r="A144" t="s">
        <v>187</v>
      </c>
      <c r="B144" t="s">
        <v>174</v>
      </c>
      <c r="C144" s="1">
        <v>44587</v>
      </c>
      <c r="D144" s="2">
        <v>4</v>
      </c>
    </row>
    <row r="145" spans="1:4">
      <c r="A145" t="s">
        <v>189</v>
      </c>
      <c r="B145" t="s">
        <v>174</v>
      </c>
      <c r="C145" s="1">
        <v>44587</v>
      </c>
      <c r="D145" s="2">
        <v>3</v>
      </c>
    </row>
    <row r="146" spans="1:4">
      <c r="A146" t="s">
        <v>179</v>
      </c>
      <c r="B146" t="s">
        <v>175</v>
      </c>
      <c r="C146" s="1">
        <v>44588</v>
      </c>
      <c r="D146" s="2">
        <v>24</v>
      </c>
    </row>
    <row r="147" spans="1:4">
      <c r="A147" t="s">
        <v>180</v>
      </c>
      <c r="B147" t="s">
        <v>175</v>
      </c>
      <c r="C147" s="1">
        <v>44588</v>
      </c>
      <c r="D147" s="2">
        <v>23</v>
      </c>
    </row>
    <row r="148" spans="1:4">
      <c r="A148" t="s">
        <v>181</v>
      </c>
      <c r="B148" t="s">
        <v>175</v>
      </c>
      <c r="C148" s="1">
        <v>44588</v>
      </c>
      <c r="D148" s="2">
        <v>69</v>
      </c>
    </row>
    <row r="149" spans="1:4">
      <c r="A149" t="s">
        <v>182</v>
      </c>
      <c r="B149" t="s">
        <v>175</v>
      </c>
      <c r="C149" s="1">
        <v>44588</v>
      </c>
      <c r="D149" s="2">
        <v>13</v>
      </c>
    </row>
    <row r="150" spans="1:4">
      <c r="A150" t="s">
        <v>183</v>
      </c>
      <c r="B150" t="s">
        <v>175</v>
      </c>
      <c r="C150" s="1">
        <v>44588</v>
      </c>
      <c r="D150" s="2">
        <v>26</v>
      </c>
    </row>
    <row r="151" spans="1:4">
      <c r="A151" t="s">
        <v>184</v>
      </c>
      <c r="B151" t="s">
        <v>175</v>
      </c>
      <c r="C151" s="1">
        <v>44588</v>
      </c>
      <c r="D151" s="2">
        <v>17</v>
      </c>
    </row>
    <row r="152" spans="1:4">
      <c r="A152" t="s">
        <v>187</v>
      </c>
      <c r="B152" t="s">
        <v>175</v>
      </c>
      <c r="C152" s="1">
        <v>44588</v>
      </c>
      <c r="D152" s="2">
        <v>45</v>
      </c>
    </row>
    <row r="153" spans="1:4">
      <c r="A153" t="s">
        <v>188</v>
      </c>
      <c r="B153" t="s">
        <v>175</v>
      </c>
      <c r="C153" s="1">
        <v>44588</v>
      </c>
      <c r="D153" s="2">
        <v>22</v>
      </c>
    </row>
    <row r="154" spans="1:4">
      <c r="C154" s="1"/>
      <c r="D154" s="2"/>
    </row>
    <row r="155" spans="1:4">
      <c r="C155" s="1"/>
      <c r="D155" s="2"/>
    </row>
    <row r="156" spans="1:4">
      <c r="C156" s="1"/>
      <c r="D156" s="2"/>
    </row>
    <row r="157" spans="1:4">
      <c r="C157" s="1"/>
      <c r="D157" s="2"/>
    </row>
    <row r="158" spans="1:4">
      <c r="C158" s="1"/>
      <c r="D158" s="2"/>
    </row>
    <row r="159" spans="1:4">
      <c r="C159" s="1"/>
      <c r="D159" s="2"/>
    </row>
    <row r="160" spans="1:4">
      <c r="C160" s="1"/>
      <c r="D160" s="2"/>
    </row>
    <row r="161" spans="3:4">
      <c r="C161" s="1"/>
      <c r="D161" s="2"/>
    </row>
    <row r="162" spans="3:4">
      <c r="C162" s="1"/>
      <c r="D162" s="2"/>
    </row>
    <row r="163" spans="3:4">
      <c r="C163" s="1"/>
      <c r="D163" s="2"/>
    </row>
    <row r="164" spans="3:4">
      <c r="C164" s="1"/>
    </row>
    <row r="165" spans="3:4">
      <c r="C165" s="1"/>
    </row>
    <row r="166" spans="3:4">
      <c r="C166" s="1"/>
    </row>
    <row r="167" spans="3:4">
      <c r="C167" s="1"/>
    </row>
    <row r="168" spans="3:4">
      <c r="C168" s="1"/>
    </row>
    <row r="169" spans="3:4">
      <c r="C169" s="1"/>
    </row>
    <row r="170" spans="3:4">
      <c r="C170" s="1"/>
    </row>
    <row r="171" spans="3:4">
      <c r="C171" s="1"/>
    </row>
    <row r="172" spans="3:4">
      <c r="C172" s="1"/>
    </row>
    <row r="173" spans="3:4">
      <c r="C173" s="1"/>
    </row>
    <row r="174" spans="3:4">
      <c r="C174" s="1"/>
    </row>
    <row r="175" spans="3:4">
      <c r="C175" s="1"/>
    </row>
    <row r="176" spans="3:4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</sheetData>
  <sortState xmlns:xlrd2="http://schemas.microsoft.com/office/spreadsheetml/2017/richdata2" ref="B8:D114">
    <sortCondition ref="C8:C114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669F-865A-4AFB-965E-2E842C27F797}">
  <sheetPr>
    <tabColor theme="0" tint="-0.499984740745262"/>
  </sheetPr>
  <dimension ref="A7:A99"/>
  <sheetViews>
    <sheetView topLeftCell="A17" workbookViewId="0">
      <selection activeCell="A106" sqref="A106"/>
    </sheetView>
  </sheetViews>
  <sheetFormatPr defaultRowHeight="14.45"/>
  <cols>
    <col min="1" max="1" width="140.5703125" customWidth="1"/>
  </cols>
  <sheetData>
    <row r="7" spans="1:1">
      <c r="A7" t="s">
        <v>208</v>
      </c>
    </row>
    <row r="8" spans="1:1">
      <c r="A8" t="s">
        <v>209</v>
      </c>
    </row>
    <row r="9" spans="1:1">
      <c r="A9" t="s">
        <v>210</v>
      </c>
    </row>
    <row r="10" spans="1:1">
      <c r="A10" s="4"/>
    </row>
    <row r="11" spans="1:1">
      <c r="A11" t="s">
        <v>211</v>
      </c>
    </row>
    <row r="12" spans="1:1">
      <c r="A12" t="s">
        <v>212</v>
      </c>
    </row>
    <row r="13" spans="1:1">
      <c r="A13" t="s">
        <v>213</v>
      </c>
    </row>
    <row r="14" spans="1:1">
      <c r="A14" t="s">
        <v>214</v>
      </c>
    </row>
    <row r="15" spans="1:1">
      <c r="A15" t="s">
        <v>215</v>
      </c>
    </row>
    <row r="17" spans="1:1">
      <c r="A17" t="s">
        <v>216</v>
      </c>
    </row>
    <row r="18" spans="1:1">
      <c r="A18" t="s">
        <v>217</v>
      </c>
    </row>
    <row r="19" spans="1:1">
      <c r="A19" t="s">
        <v>218</v>
      </c>
    </row>
    <row r="20" spans="1:1">
      <c r="A20" t="s">
        <v>219</v>
      </c>
    </row>
    <row r="21" spans="1:1">
      <c r="A21" t="s">
        <v>220</v>
      </c>
    </row>
    <row r="23" spans="1:1">
      <c r="A23" t="s">
        <v>221</v>
      </c>
    </row>
    <row r="24" spans="1:1">
      <c r="A24" t="s">
        <v>222</v>
      </c>
    </row>
    <row r="25" spans="1:1">
      <c r="A25" t="s">
        <v>223</v>
      </c>
    </row>
    <row r="26" spans="1:1">
      <c r="A26" t="s">
        <v>224</v>
      </c>
    </row>
    <row r="27" spans="1:1">
      <c r="A27" t="s">
        <v>225</v>
      </c>
    </row>
    <row r="28" spans="1:1">
      <c r="A28" s="4"/>
    </row>
    <row r="29" spans="1:1">
      <c r="A29" t="s">
        <v>226</v>
      </c>
    </row>
    <row r="30" spans="1:1">
      <c r="A30" t="s">
        <v>227</v>
      </c>
    </row>
    <row r="31" spans="1:1">
      <c r="A31" t="s">
        <v>228</v>
      </c>
    </row>
    <row r="32" spans="1:1">
      <c r="A32" t="s">
        <v>229</v>
      </c>
    </row>
    <row r="33" spans="1:1">
      <c r="A33" t="s">
        <v>230</v>
      </c>
    </row>
    <row r="34" spans="1:1">
      <c r="A34" t="s">
        <v>231</v>
      </c>
    </row>
    <row r="35" spans="1:1">
      <c r="A35" t="s">
        <v>232</v>
      </c>
    </row>
    <row r="36" spans="1:1">
      <c r="A36" t="s">
        <v>233</v>
      </c>
    </row>
    <row r="37" spans="1:1">
      <c r="A37" t="s">
        <v>234</v>
      </c>
    </row>
    <row r="38" spans="1:1">
      <c r="A38" t="s">
        <v>235</v>
      </c>
    </row>
    <row r="39" spans="1:1">
      <c r="A39" t="s">
        <v>236</v>
      </c>
    </row>
    <row r="40" spans="1:1">
      <c r="A40" t="s">
        <v>237</v>
      </c>
    </row>
    <row r="41" spans="1:1">
      <c r="A41" t="s">
        <v>238</v>
      </c>
    </row>
    <row r="43" spans="1:1">
      <c r="A43" t="s">
        <v>239</v>
      </c>
    </row>
    <row r="44" spans="1:1">
      <c r="A44" t="s">
        <v>240</v>
      </c>
    </row>
    <row r="45" spans="1:1">
      <c r="A45" t="s">
        <v>241</v>
      </c>
    </row>
    <row r="46" spans="1:1">
      <c r="A46" t="s">
        <v>242</v>
      </c>
    </row>
    <row r="47" spans="1:1">
      <c r="A47" t="s">
        <v>243</v>
      </c>
    </row>
    <row r="49" spans="1:1">
      <c r="A49" t="s">
        <v>244</v>
      </c>
    </row>
    <row r="50" spans="1:1">
      <c r="A50" s="4"/>
    </row>
    <row r="51" spans="1:1">
      <c r="A51" t="s">
        <v>245</v>
      </c>
    </row>
    <row r="52" spans="1:1">
      <c r="A52" t="s">
        <v>233</v>
      </c>
    </row>
    <row r="53" spans="1:1">
      <c r="A53" t="s">
        <v>234</v>
      </c>
    </row>
    <row r="54" spans="1:1">
      <c r="A54" t="s">
        <v>235</v>
      </c>
    </row>
    <row r="55" spans="1:1">
      <c r="A55" t="s">
        <v>236</v>
      </c>
    </row>
    <row r="56" spans="1:1">
      <c r="A56" t="s">
        <v>237</v>
      </c>
    </row>
    <row r="57" spans="1:1">
      <c r="A57" t="s">
        <v>238</v>
      </c>
    </row>
    <row r="59" spans="1:1">
      <c r="A59" t="s">
        <v>239</v>
      </c>
    </row>
    <row r="60" spans="1:1">
      <c r="A60" t="s">
        <v>240</v>
      </c>
    </row>
    <row r="61" spans="1:1">
      <c r="A61" t="s">
        <v>241</v>
      </c>
    </row>
    <row r="62" spans="1:1">
      <c r="A62" t="s">
        <v>246</v>
      </c>
    </row>
    <row r="63" spans="1:1">
      <c r="A63" t="s">
        <v>247</v>
      </c>
    </row>
    <row r="64" spans="1:1">
      <c r="A64" t="s">
        <v>248</v>
      </c>
    </row>
    <row r="65" spans="1:1">
      <c r="A65" t="s">
        <v>249</v>
      </c>
    </row>
    <row r="66" spans="1:1">
      <c r="A66" t="s">
        <v>250</v>
      </c>
    </row>
    <row r="68" spans="1:1">
      <c r="A68" t="s">
        <v>251</v>
      </c>
    </row>
    <row r="69" spans="1:1">
      <c r="A69" t="s">
        <v>208</v>
      </c>
    </row>
    <row r="70" spans="1:1">
      <c r="A70" t="s">
        <v>209</v>
      </c>
    </row>
    <row r="71" spans="1:1">
      <c r="A71" t="s">
        <v>210</v>
      </c>
    </row>
    <row r="74" spans="1:1">
      <c r="A74" t="s">
        <v>252</v>
      </c>
    </row>
    <row r="75" spans="1:1">
      <c r="A75" t="s">
        <v>216</v>
      </c>
    </row>
    <row r="76" spans="1:1">
      <c r="A76" t="s">
        <v>217</v>
      </c>
    </row>
    <row r="77" spans="1:1">
      <c r="A77" t="s">
        <v>218</v>
      </c>
    </row>
    <row r="78" spans="1:1">
      <c r="A78" t="s">
        <v>219</v>
      </c>
    </row>
    <row r="79" spans="1:1">
      <c r="A79" t="s">
        <v>221</v>
      </c>
    </row>
    <row r="80" spans="1:1">
      <c r="A80" t="s">
        <v>222</v>
      </c>
    </row>
    <row r="81" spans="1:1">
      <c r="A81" t="s">
        <v>253</v>
      </c>
    </row>
    <row r="83" spans="1:1">
      <c r="A83" t="s">
        <v>254</v>
      </c>
    </row>
    <row r="84" spans="1:1">
      <c r="A84" t="s">
        <v>216</v>
      </c>
    </row>
    <row r="85" spans="1:1">
      <c r="A85" t="s">
        <v>217</v>
      </c>
    </row>
    <row r="86" spans="1:1">
      <c r="A86" t="s">
        <v>218</v>
      </c>
    </row>
    <row r="87" spans="1:1">
      <c r="A87" t="s">
        <v>219</v>
      </c>
    </row>
    <row r="88" spans="1:1">
      <c r="A88" t="s">
        <v>221</v>
      </c>
    </row>
    <row r="89" spans="1:1">
      <c r="A89" t="s">
        <v>255</v>
      </c>
    </row>
    <row r="90" spans="1:1">
      <c r="A90" t="s">
        <v>253</v>
      </c>
    </row>
    <row r="93" spans="1:1">
      <c r="A93" t="s">
        <v>256</v>
      </c>
    </row>
    <row r="94" spans="1:1">
      <c r="A94" t="s">
        <v>216</v>
      </c>
    </row>
    <row r="95" spans="1:1">
      <c r="A95" t="s">
        <v>217</v>
      </c>
    </row>
    <row r="96" spans="1:1">
      <c r="A96" t="s">
        <v>218</v>
      </c>
    </row>
    <row r="97" spans="1:1">
      <c r="A97" t="s">
        <v>219</v>
      </c>
    </row>
    <row r="98" spans="1:1">
      <c r="A98" t="s">
        <v>221</v>
      </c>
    </row>
    <row r="99" spans="1:1">
      <c r="A99" t="s">
        <v>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EFCE6E6696247B6CB92E7E7414546" ma:contentTypeVersion="20" ma:contentTypeDescription="Create a new document." ma:contentTypeScope="" ma:versionID="b2404b0345bc047b3c22cbc55f59c314">
  <xsd:schema xmlns:xsd="http://www.w3.org/2001/XMLSchema" xmlns:xs="http://www.w3.org/2001/XMLSchema" xmlns:p="http://schemas.microsoft.com/office/2006/metadata/properties" xmlns:ns2="bab05a41-8258-4242-9662-5640c7b0000b" xmlns:ns3="c372e04d-2fee-435a-af44-26a17319448f" targetNamespace="http://schemas.microsoft.com/office/2006/metadata/properties" ma:root="true" ma:fieldsID="146e06b3f70aebf6556245f9f9957734" ns2:_="" ns3:_="">
    <xsd:import namespace="bab05a41-8258-4242-9662-5640c7b0000b"/>
    <xsd:import namespace="c372e04d-2fee-435a-af44-26a173194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DateTaken" minOccurs="0"/>
                <xsd:element ref="ns2:MediaLengthInSeconds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05a41-8258-4242-9662-5640c7b00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95432e-e27e-49e1-b297-cce5a23cb0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3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72e04d-2fee-435a-af44-26a1731944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14ba0c-0401-4368-a920-30f320384412}" ma:internalName="TaxCatchAll" ma:showField="CatchAllData" ma:web="c372e04d-2fee-435a-af44-26a173194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72e04d-2fee-435a-af44-26a17319448f" xsi:nil="true"/>
    <lcf76f155ced4ddcb4097134ff3c332f xmlns="bab05a41-8258-4242-9662-5640c7b0000b">
      <Terms xmlns="http://schemas.microsoft.com/office/infopath/2007/PartnerControls"/>
    </lcf76f155ced4ddcb4097134ff3c332f>
    <Comments xmlns="bab05a41-8258-4242-9662-5640c7b0000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6E9723-F98F-4AD4-828C-A2DFB98B9104}"/>
</file>

<file path=customXml/itemProps2.xml><?xml version="1.0" encoding="utf-8"?>
<ds:datastoreItem xmlns:ds="http://schemas.openxmlformats.org/officeDocument/2006/customXml" ds:itemID="{3301DED4-0760-4EAD-B7D0-16DBB6FC0D1C}"/>
</file>

<file path=customXml/itemProps3.xml><?xml version="1.0" encoding="utf-8"?>
<ds:datastoreItem xmlns:ds="http://schemas.openxmlformats.org/officeDocument/2006/customXml" ds:itemID="{F226D2AC-947A-4751-9BBB-22DECB6866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Letten</dc:creator>
  <cp:keywords/>
  <dc:description/>
  <cp:lastModifiedBy/>
  <cp:revision/>
  <dcterms:created xsi:type="dcterms:W3CDTF">2022-02-09T09:47:34Z</dcterms:created>
  <dcterms:modified xsi:type="dcterms:W3CDTF">2023-07-25T11:38:36Z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ae2701-d386-483e-bca7-b4332176f258_Enabled">
    <vt:lpwstr>true</vt:lpwstr>
  </property>
  <property fmtid="{D5CDD505-2E9C-101B-9397-08002B2CF9AE}" pid="3" name="MSIP_Label_9aae2701-d386-483e-bca7-b4332176f258_SetDate">
    <vt:lpwstr>2022-02-09T09:47:34Z</vt:lpwstr>
  </property>
  <property fmtid="{D5CDD505-2E9C-101B-9397-08002B2CF9AE}" pid="4" name="MSIP_Label_9aae2701-d386-483e-bca7-b4332176f258_Method">
    <vt:lpwstr>Standard</vt:lpwstr>
  </property>
  <property fmtid="{D5CDD505-2E9C-101B-9397-08002B2CF9AE}" pid="5" name="MSIP_Label_9aae2701-d386-483e-bca7-b4332176f258_Name">
    <vt:lpwstr>General</vt:lpwstr>
  </property>
  <property fmtid="{D5CDD505-2E9C-101B-9397-08002B2CF9AE}" pid="6" name="MSIP_Label_9aae2701-d386-483e-bca7-b4332176f258_SiteId">
    <vt:lpwstr>4af8322c-80ee-4819-a9ce-863d5afbea1c</vt:lpwstr>
  </property>
  <property fmtid="{D5CDD505-2E9C-101B-9397-08002B2CF9AE}" pid="7" name="MSIP_Label_9aae2701-d386-483e-bca7-b4332176f258_ActionId">
    <vt:lpwstr>972ff481-e3a5-4117-9eeb-2ed3d0aa6442</vt:lpwstr>
  </property>
  <property fmtid="{D5CDD505-2E9C-101B-9397-08002B2CF9AE}" pid="8" name="MSIP_Label_9aae2701-d386-483e-bca7-b4332176f258_ContentBits">
    <vt:lpwstr>0</vt:lpwstr>
  </property>
  <property fmtid="{D5CDD505-2E9C-101B-9397-08002B2CF9AE}" pid="9" name="ContentTypeId">
    <vt:lpwstr>0x0101004A9EFCE6E6696247B6CB92E7E7414546</vt:lpwstr>
  </property>
  <property fmtid="{D5CDD505-2E9C-101B-9397-08002B2CF9AE}" pid="10" name="MediaServiceImageTags">
    <vt:lpwstr/>
  </property>
</Properties>
</file>